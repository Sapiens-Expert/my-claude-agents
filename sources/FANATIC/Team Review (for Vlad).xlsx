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_May 2026" sheetId="1" r:id="rId5"/>
    <sheet state="visible" name="Матрица Fanatic 2.0 (копия)" sheetId="2" r:id="rId6"/>
  </sheets>
  <definedNames/>
  <calcPr/>
</workbook>
</file>

<file path=xl/sharedStrings.xml><?xml version="1.0" encoding="utf-8"?>
<sst xmlns="http://schemas.openxmlformats.org/spreadsheetml/2006/main" count="215" uniqueCount="180">
  <si>
    <t>Катя</t>
  </si>
  <si>
    <t>Диана</t>
  </si>
  <si>
    <t>Вероника</t>
  </si>
  <si>
    <t>Даша</t>
  </si>
  <si>
    <t>Алиса</t>
  </si>
  <si>
    <t>⚒️ Фундаментальные профессиональные навыки</t>
  </si>
  <si>
    <t>Стратегический маркетинг — ⭐навык с высоким весом⭐</t>
  </si>
  <si>
    <t xml:space="preserve">маркетинговая стратегия </t>
  </si>
  <si>
    <t>операционная модель</t>
  </si>
  <si>
    <t xml:space="preserve">Операционный маркетинг — 
⭐навык с высоким весом⭐
</t>
  </si>
  <si>
    <t xml:space="preserve">Бренд-стратегия — 
⭐навык с высоким весом⭐
</t>
  </si>
  <si>
    <t>аналитический синтез (пре-концептинг) — 
⭐навык с высоким весом⭐</t>
  </si>
  <si>
    <t xml:space="preserve">концептинг и работа с инсайтами — 
⭐навык с высоким весом⭐
</t>
  </si>
  <si>
    <t>платформа бренда</t>
  </si>
  <si>
    <t>манифесты</t>
  </si>
  <si>
    <t>подготовка финального материала: сторителлинг и визуализация (Moodboard, референсы, Do's &amp; Dont's)</t>
  </si>
  <si>
    <t>Исследования и анализ — 
⭐навык с высоким весом⭐</t>
  </si>
  <si>
    <t>кабинетные исследования и синтез данных (открытые источники + готовые исследования клиента)</t>
  </si>
  <si>
    <t>1, 2</t>
  </si>
  <si>
    <t>анализ конкурентов</t>
  </si>
  <si>
    <t>качественные исследования (глубинные интервью, экспертные интервью, этнография) — 
⭐навык с высоким весом⭐</t>
  </si>
  <si>
    <t>количественные исследования (BHT, сегментации аудитории, концепт-тесты) — 
⭐навык с высоким весом⭐</t>
  </si>
  <si>
    <t xml:space="preserve">аудит бренда — 
⭐навык с высоким весом⭐
</t>
  </si>
  <si>
    <t>Семиотика и/или трендвотчинг</t>
  </si>
  <si>
    <t xml:space="preserve">Архитектура бренда
</t>
  </si>
  <si>
    <t>Клиентский опыт (CX)</t>
  </si>
  <si>
    <t>Коммуникационная стратегия</t>
  </si>
  <si>
    <t>Бренд работодателя</t>
  </si>
  <si>
    <t xml:space="preserve">Воркшопы и рабочие сессии — 
⭐навык с высоким весом⭐
</t>
  </si>
  <si>
    <t xml:space="preserve">разработка сценариев </t>
  </si>
  <si>
    <t>модерация</t>
  </si>
  <si>
    <t>Кросс-функциональные навыки</t>
  </si>
  <si>
    <t>бриф на дизайн и сопровождение дизайн-команд</t>
  </si>
  <si>
    <t>бриф на креатив и стратегическое ревью креатива</t>
  </si>
  <si>
    <t xml:space="preserve">AI-компетенции — 
⭐навык с высоким весом⭐
</t>
  </si>
  <si>
    <t>🧠 Интеллектуальные навыки</t>
  </si>
  <si>
    <t>Стратегическое 
мышление 
(на базе H. Mintzberg) — 
⭐навык с высоким весом⭐</t>
  </si>
  <si>
    <r>
      <rPr>
        <rFont val="Arial"/>
        <b/>
        <color rgb="FF000000"/>
      </rPr>
      <t xml:space="preserve">аналитическое мышление 
</t>
    </r>
    <r>
      <rPr>
        <rFont val="Arial"/>
        <color rgb="FF999999"/>
      </rPr>
      <t>структурировать информацию, замечать закономерности, делать обоснованные выводы</t>
    </r>
  </si>
  <si>
    <r>
      <rPr>
        <rFont val="Arial"/>
        <b/>
        <color rgb="FF000000"/>
      </rPr>
      <t>логическое мышление</t>
    </r>
    <r>
      <rPr>
        <rFont val="Arial"/>
        <color rgb="FF000000"/>
      </rPr>
      <t xml:space="preserve"> 
</t>
    </r>
    <r>
      <rPr>
        <rFont val="Arial"/>
        <color rgb="FF999999"/>
      </rPr>
      <t>отсекать лишнее и фокусировать на главном, упрощать сложное</t>
    </r>
  </si>
  <si>
    <r>
      <rPr>
        <rFont val="Arial"/>
        <b/>
        <color rgb="FF000000"/>
      </rPr>
      <t>диагностическое мышление</t>
    </r>
    <r>
      <rPr>
        <rFont val="Arial"/>
        <color rgb="FF000000"/>
      </rPr>
      <t xml:space="preserve"> 
</t>
    </r>
    <r>
      <rPr>
        <rFont val="Arial"/>
        <color rgb="FF999999"/>
      </rPr>
      <t>различать симптомы и причины, способность распаковывать запрос и сформулировать проблему</t>
    </r>
    <r>
      <rPr>
        <rFont val="Arial"/>
        <color rgb="FF000000"/>
      </rPr>
      <t xml:space="preserve"> </t>
    </r>
  </si>
  <si>
    <r>
      <rPr>
        <rFont val="Arial"/>
        <b/>
        <color rgb="FF000000"/>
      </rPr>
      <t>креативное мышление</t>
    </r>
    <r>
      <rPr>
        <rFont val="Arial"/>
        <color rgb="FF000000"/>
      </rPr>
      <t xml:space="preserve"> 
</t>
    </r>
    <r>
      <rPr>
        <rFont val="Arial"/>
        <color rgb="FF999999"/>
      </rPr>
      <t>выходить за пределы очевидных решений, генерировать новые подходы и формулировать оригинальные идеи, сохраняя их стратегическую уместность</t>
    </r>
  </si>
  <si>
    <r>
      <rPr>
        <rFont val="Arial"/>
        <b/>
        <color rgb="FF000000"/>
      </rPr>
      <t>helicopter view</t>
    </r>
    <r>
      <rPr>
        <rFont val="Arial"/>
        <color rgb="FF000000"/>
      </rPr>
      <t xml:space="preserve"> 
</t>
    </r>
    <r>
      <rPr>
        <rFont val="Arial"/>
        <color rgb="FF999999"/>
      </rPr>
      <t>видеть систему, а не отдельную задачу</t>
    </r>
  </si>
  <si>
    <t>Отношения с клиентами 
(на базе D. Maister) — 
⭐навык с высоким весом⭐</t>
  </si>
  <si>
    <t>Ответственность за результат — 
⭐навык с высоким весом⭐</t>
  </si>
  <si>
    <t>Работа с культурой и лидерами</t>
  </si>
  <si>
    <t>Тайм-менеджмент и самоорганизация</t>
  </si>
  <si>
    <t>Коммуникация и презентация — 
⭐навык с высоким весом⭐</t>
  </si>
  <si>
    <t>Командность — 
⭐навык с высоким весом⭐</t>
  </si>
  <si>
    <t>Over-all</t>
  </si>
  <si>
    <t>Trainee</t>
  </si>
  <si>
    <t>Младший стратег</t>
  </si>
  <si>
    <t>Стратег</t>
  </si>
  <si>
    <t>Старший стратег</t>
  </si>
  <si>
    <t>Lead</t>
  </si>
  <si>
    <t>Head</t>
  </si>
  <si>
    <r>
      <rPr>
        <rFont val="Arial"/>
        <b/>
        <color rgb="FF000000"/>
      </rPr>
      <t xml:space="preserve">Стратегический маркетинг — ⭐навык с высоким весом⭐
</t>
    </r>
    <r>
      <rPr>
        <rFont val="Arial"/>
        <b val="0"/>
        <color rgb="FF999999"/>
      </rPr>
      <t xml:space="preserve">Понимать как бизнес зарабатывает сейчас и проектировать реалистичные направления роста, согласованные с позицией бренда, ресурсами и ограничениями компании
🚫 Без перехода в бизнес-консалтинг; операционный консалтинг; консалинг по продукту, финансам и инвестициям </t>
    </r>
  </si>
  <si>
    <r>
      <rPr>
        <rFont val="Arial"/>
        <color rgb="FF000000"/>
      </rPr>
      <t xml:space="preserve">маркетинговая стратегия 
</t>
    </r>
    <r>
      <rPr>
        <rFont val="Arial"/>
        <color rgb="FF999999"/>
      </rPr>
      <t>🚫 граница роли: стратег не проектирует бизнес-модель и не считает финмодель, а переводит логику заработка бизнеса в маркетинговый выбор (выбор приоритетных сегментов/сценариев роста; определение роли бренда в росте)</t>
    </r>
  </si>
  <si>
    <t>⛔не оцениваем компетенцию у начинающих стратегов</t>
  </si>
  <si>
    <r>
      <rPr>
        <rFont val="Arial"/>
        <color theme="1"/>
        <sz val="8.0"/>
      </rPr>
      <t xml:space="preserve">Уверенно работает в ситуации, когда бизнес‑модель не требует пересборки. 
Умеет разобраться в бизнес-модели клиента и корректно описать, как бизнес зарабатывает (за счет каких аудиторий, сценариев потребления, категорий / продуктов). 
Умеет на этой базе сформулировать маркетинговую стратегию: какую аудиторию растим, в каких сценариях, за счет какого brand/value proposition; понимает как бренд и маркетинг должны поддержать коммерческую задачу.
</t>
    </r>
    <r>
      <rPr>
        <rFont val="Arial"/>
        <i/>
        <color theme="1"/>
        <sz val="8.0"/>
      </rPr>
      <t xml:space="preserve">Пример: Яндекс.Еда зарабатывает не на доставке заказов, а на рекламе внутри приложения. Задача маркетинга — растить retention, чтобы люди возвращались в приложение. Будущая гипотеза позиционирования должна и продвигать еду, и другие сценарии пользования приложением. </t>
    </r>
    <r>
      <rPr>
        <rFont val="Arial"/>
        <color theme="1"/>
        <sz val="8.0"/>
      </rPr>
      <t xml:space="preserve">
</t>
    </r>
  </si>
  <si>
    <r>
      <rPr>
        <rFont val="Arial"/>
        <color theme="1"/>
        <sz val="8.0"/>
      </rPr>
      <t xml:space="preserve">Уверенно работает в ситуации, когда клиент рассматривает изменение бизнес‑модели. 
Умеет сформулировать как изменится маркетинговая стратегия в каждом варианте, какие будут маркетинговые последствия выбора: кто и что обеспечит рост (целевые аудитории, сценарии, продукты); какое позиционирование будет; какие рычаги маркетинга станут приоритетными.
Оставаясь в роли маркетолога‑стратега (без перехода в бизнес-консалтинг), помогает клиенту выбрать —  с учетом ресурсов, ограничений и роли бренда.
</t>
    </r>
    <r>
      <rPr>
        <rFont val="Arial"/>
        <i/>
        <color theme="1"/>
        <sz val="8.0"/>
      </rPr>
      <t>Пример: за счет какой аудитории расти ВкусВиллу: приводить новых людей в ЗОЖ или вовзращать тех, кто пользовался, но ушел</t>
    </r>
  </si>
  <si>
    <r>
      <rPr>
        <rFont val="Arial"/>
        <color rgb="FF000000"/>
      </rPr>
      <t xml:space="preserve">операционная модель
</t>
    </r>
    <r>
      <rPr>
        <rFont val="Arial"/>
        <color rgb="FF999999"/>
      </rPr>
      <t>🚫 граница роли: стратег не проектирует бизнес-процессы, а подсвечивает риски и требования к реализуемости</t>
    </r>
  </si>
  <si>
    <r>
      <rPr>
        <rFont val="Arial"/>
        <color rgb="FF000000"/>
        <sz val="8.0"/>
      </rPr>
      <t xml:space="preserve">Понимает, из каких бизнес-процессов состоит операционная модель клиента + какие из них влияют на бренд. 
Умеет выявлять разрывы между маркетинговой стратегией и операционной реальностью (где именно выбранная стратегия не приземляется на текущую операционную модель). 
</t>
    </r>
    <r>
      <rPr>
        <rFont val="Arial"/>
        <i/>
        <color rgb="FF000000"/>
        <sz val="8.0"/>
      </rPr>
      <t>Пример: рынок похоронных услуг стагнирует, завод ритуальных товаров решил драйвить ценность и выйти в премиум, чтобы люди платили больше за продукт. Стратег фиксирует, что текущие процессы и предложение не поддерживают выбранный вектор: отсутствует сервис премиального уровня, продуктовая линейка и клиентский опыт не соответствуют обещанию бренда. И говорит: «без сервиса не взлетит»</t>
    </r>
  </si>
  <si>
    <r>
      <rPr>
        <rFont val="Arial"/>
        <color rgb="FF000000"/>
        <sz val="8.0"/>
      </rPr>
      <t xml:space="preserve">Демонстриурет другое качество стратегического суждения при неопределенности. Умеет не только диагностировать разрыв, но и сформулировать 2–3 реалистичных сценария + показать их последствия.
Объясняет, как каждый вариант повлияет на выполнимость бренд‑обещания, скорость роста и устойчивость результата.
</t>
    </r>
    <r>
      <rPr>
        <rFont val="Arial"/>
        <i/>
        <color rgb="FF000000"/>
        <sz val="8.0"/>
      </rPr>
      <t xml:space="preserve">Пример: не просто не «без сервиса не взлетит», а «вижу 3 сценария». 
Сценарий 1: просто поднимаем цену, делаем косметический ребрендинг, сервис оставляем тем же; это быстро, но высокий риск недоверия и отказов. 
Сценарий 2: ограниченная линейка премиум-продуктов + точечно инвестируем в сервис для премиальных кейсов (нанимаем одного менеджера); это медленнее, но дает возможность реально выйти в премиум. 
Ну и сценарий 3 — самый дорогой, с полноценным премиальным сервисом. </t>
    </r>
  </si>
  <si>
    <t>Понимать как в компании устроена маркетинговая функция (структура маркетинга), как работают разные маркетинговые направления и каналы, и как через них реализуется бренд-стратегия</t>
  </si>
  <si>
    <t>Понимает базовую структуру маркетинга у клиента (кто за что отвечает: бренд, digital, CRM, PR, сервис, продукт).
Ориентируется в ключевых инструментах (CRM, performance, SMM, OLV, PR) на уровне назначения: какую задачу каждый инструмент обычно решает и на каком этапе воронки работает.</t>
  </si>
  <si>
    <r>
      <rPr>
        <rFont val="Arial"/>
        <b/>
        <color theme="1"/>
        <sz val="8.0"/>
      </rPr>
      <t>В дополнение к предыдущему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>Может связать бренд-стратегию с маркетинговым инструментарием и сказать, какие направления и каналы критичны для выбранной аудитории, сценариев потребления и целей роста.</t>
    </r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</si>
  <si>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
Может сказать, какая маркетинговая система нужна для реализации бренд-стратегии (структура маркетинговой функции + инструменты/каналы), где разрывы, что критично изменить/усилить для реализуемости. 
Может вести разговор с топ-командой о стратегических компромиссах маркетинга: brand-building vs short-term activation, эффективность в конкретных каналах vs консистентность бренда.</t>
    </r>
  </si>
  <si>
    <t>Работа с идеями и концепциями, подготовка финальных документов</t>
  </si>
  <si>
    <t>Базовый аналитический синтез: может структурировать выводы предыдущих этапов; может понадобится помощь с выделение ключевых вещей. 
Видит основные напряжения и возможности для бренда (что за проблему решаем, где самая большая сложность, как можно ее пофиксить)</t>
  </si>
  <si>
    <t>Хороший аналитический синтез: умеет не просто собрать, а поженить основные выводы из всех предыдущих этапов (проблематика и задачи клиента; состояние конкурентного ландшафта; находки про целевую аудиторию).
Четко формулирует, какую задачу должен решить бренд и понимает, какой должен быть бренд по отношению к конкурентам и аудитории.</t>
  </si>
  <si>
    <t>Аналитический синтез на очень высоком уровне: превращает большой массив разнородных данных в 1-2 стратегических развилки, на которых можно строить концепции. Видит неочевидные несостыковки в выводах этапов.  
Четко формулирует, что берем в фокус и от чего отказываемся; задает рамку для концептинга команды.</t>
  </si>
  <si>
    <t>Участвует в разработке с супервизированием старших специалистов. 
Может собрать одну гипотезу, которую хорошо понимает и чувствует. 
Начинает учиться собирать лестницы преимуществ. Понимает разницу между фактом и оценочным суждением. Может отсеять вещи, которые не являются RTB. 
Учится формулировать инсайты, может пока еще попадать мимо категории</t>
  </si>
  <si>
    <t>Умеет найти стратегическую территорию для бренда и собрать гипотезу позиционирования. 
Собирает несколько полноценных, логичных гипотез, отличных друг от друга. 
Формулирует инсайты, попадающие в категорию. Умеет синтезировать инсайт на пересечении драйвера и барьера аудитории. Может пока еще не доходить до глубокого понимания мотивации человека. 
Умеет собирать лестницу преимуществ. Понимает сам принцип, способен отличить ФП от ЭП и не пересекать их. 
Понимает, какой подход к разработке выбрать (уровни позиционирования)</t>
  </si>
  <si>
    <t>Формулирует классные инсайты: докапывает до глубокого понимания мотивации человека, а не только подлавливает напряжение или находит барьеры и драйверы.
Умеет формулировать разные инсайты (аудитории, категории, ...)
Умеет формулировать критерии оценки, по которым можно сделать скоринг гипотез. Знает как консультировать клиента в момент выбора гипотезы.
Сразу отсеивает идеи, которые не являются стратегическими. Помогает младшим коллегам разобраться с этим, отсеять тактические идеи. Отличает стратегическую идею бренда, идею для коммуникационной платформы или креативной рамки, идею для рекламной кампании.</t>
  </si>
  <si>
    <t xml:space="preserve">Участвует в разработке с супервизированием старших специалистов. 
Собирает отдельные блоки платформы. </t>
  </si>
  <si>
    <t xml:space="preserve">Умеет собирать платформу бренда целиком. Знает разные фреймы, может подобрать вид под клиента и аргументировать свой выбор.
В зависимости от задач и особенностей проекта дополняет платформу нужными блоками (приниципы коллаборации, как показывать продукт, приемы коммуникации, другие). Понимает, что нужно доставить в файл, чтобы он был понятен без комментариев. 
Формулирует стратегические сообщения, используя лексику, которая органична и близка команде. </t>
  </si>
  <si>
    <r>
      <rPr>
        <rFont val="Arial"/>
        <color theme="1"/>
        <sz val="8.0"/>
      </rPr>
      <t xml:space="preserve">Делает платформу не только структурной и понятной, но и выразительной: формулирует идею, характер, ценности, миссию и другие блоки уже в логике будущего ToV бренда.
</t>
    </r>
    <r>
      <rPr>
        <rFont val="Arial"/>
        <i/>
        <color theme="1"/>
        <sz val="8.0"/>
      </rPr>
      <t>Пример: не уважаем корпоративный булшит VS избегаем бюрократии и лишних формальностей</t>
    </r>
    <r>
      <rPr>
        <rFont val="Arial"/>
        <color theme="1"/>
        <sz val="8.0"/>
      </rPr>
      <t xml:space="preserve">
Супервизирует подготовку платформы другими специалистами: задает стандарт качества, направляет доработки.</t>
    </r>
  </si>
  <si>
    <t>Умеет перевести отдельные блоки платформы в понятный текст без потери смысла (что бренд обещает, во что верит, как говорит).
Соблюдает заданный тон и структуру манифеста, но пока нуждается в редактуре по формулировкам, ритму и выразительности текста.</t>
  </si>
  <si>
    <t>Умеет превратить платформу бренда в манифест, понятный не только маркетологам, но и любым другим людям в компании. 
Умеет изложить ее в поэтичной форме с особенным вниманием к копирайту</t>
  </si>
  <si>
    <t>Знает разные форматы манифестов и умеет выбрать подходящий для конкретной задачи. 
Супервизирует подготовку манифеста другими специалистами: задает стандарт качества, направляет доработки.</t>
  </si>
  <si>
    <t>https://www.manifestowriting.com/</t>
  </si>
  <si>
    <t xml:space="preserve">Умеет структурировать презентацию и последовательно изложить в ней мысль, чтобы донести идею. 
Оформляет материалы по шаблону, соблюдая заданный стиль и аккуратность. </t>
  </si>
  <si>
    <t xml:space="preserve">Умеет продумывать нарратив презентации, избегает монотонности повествования. 
Собирает мудборды, не создающие лишних смысловых шумов и не требующие дополнительных усилий для понимания. 
Выбирает изображения и референсы так, чтобы они подчеркивали смысловое наполнение платформы и отражали заложенный характер (а не были рандомными картинками для заполнения слайдов). </t>
  </si>
  <si>
    <t xml:space="preserve">С помощью сторителлинга превращает документ в артефакт, который интересно изучать даже без очной презентации. 
Придумывает новые подходы к сторителлингу. 
Использует дизайн, чтобы привлечь внимание к идеям и ускорить их понимание, а не ради красоты. Умеет добавить изящности строгим слайдам. 
Супервизирует других специалистов, наставляет и делится опытом. </t>
  </si>
  <si>
    <t>Навыки для стратегов (не подходит для оценки исследователей)</t>
  </si>
  <si>
    <t>Может сделать простое, компактное кабинетное исследование с четко поставленной задачей. 
Умеет анализировать и обобщать данные из разных источников; иногда требует помощи более опытных коллег с обобщением / агрегацией выводов</t>
  </si>
  <si>
    <t xml:space="preserve">Умеет сам сформулировать задачу на кабинетное исследование, разбить задачу на смысловые блоки. 
Уверенно комбинирует данные из разных источников, делает агрегированные выводы и собирает комплексные отчеты. 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</si>
  <si>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Понимает, когда нужно перестать кипятить океан и остановить сбор данных. 
Супервизирует других специалистов на этапе кабинетного исследования, синтеза данных из разных источников. </t>
    </r>
  </si>
  <si>
    <t>Самостоятельно реализует стандартные компеты и деск-рисерчи. 
Умеет делать выводы, искать смысловые дихотомии и строить карты рынка</t>
  </si>
  <si>
    <t>Умеет проапгрейдить фреймворк под задачи клиента. 
Умеет делать стандартные компеты для разработки: позиционирования, коммуникационной стратегии.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</si>
  <si>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 xml:space="preserve">Умеет делать нестандартные компеты, включая архитектурные и дизайн-компеты. Супервизирует других специалистов, наставляет и делится опытом. </t>
    </r>
  </si>
  <si>
    <t xml:space="preserve">Имеет общее представление о качественных методах, применяемых при разработке бренд-стратегии. 
Умеет составить гайд и адаптировать его для конкретной аудитории. 
Есть практика в структурированных и полуструктурированных интервью с аудиторией. </t>
  </si>
  <si>
    <t xml:space="preserve">Уверенно ведет как глубинные полуструктурированные интервью с аудиторией, так и интервью с просьюмерами / экспертами. Есть опыт проведения интервью с сопровождением или этнографии. 
Может самостоятельно разработать дизайн исследования на стандартных проектах / сделать базовый бриф для подрядчика. 
Умеет супервизировать подрядчиков на ГИ и ФГ. Умеет давать обратную связь на отчет, помогать связать итоги исследования с задачами проекта. 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</si>
  <si>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
Умеет вести интервью со сложной аудиторией (C-1, C-2 level, высокодоходная аудитория, дети). 
Умеет вести интервью на сенситивные темы. 
Автономно разрабатывает дизайн исследования, умеет решать сложные и нестандартные запросы клиента. 
Умеет супервизировать различные методологии и подрядчиков. </t>
    </r>
  </si>
  <si>
    <t xml:space="preserve">Имеет общее представление о количественных методах, применяемых при разработке бренд-стратегии. 
Умеет читать базовый BHT и определять, в каком месте у бренда возникают проблемы. </t>
  </si>
  <si>
    <t xml:space="preserve">Умеет собирать бриф на количественное исследование для подрядчика (BHT, сегментация аудитории, концепт-тест).
Знает разные подходы к тестированию концепций, умеет готовить стимульные материалы. 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</si>
  <si>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Понимает методологию U&amp;A, может отличить плохую сегментацию от хорошей. Может простыми словами объяснить концепцию сегментации, факторный и кластерный анализ.
Может перевести на понятный клиенту язык выкладки количественных исследователей.
Умеет супервизировать подрядчиков. </t>
    </r>
  </si>
  <si>
    <t>Участвует в аудите с супервизированием старших специалистов. 
Может качественно изучить и проаудировать один блок (например, конкурентов или аудиторию). Может рассказать этот блок и ответить на вопросы клиента на встрече.</t>
  </si>
  <si>
    <t xml:space="preserve">Может самостоятельно провести полный аудит бренда на стандартном проекте с понятными вводными. 
Умеет делать аудиты бренда разных видов: для предпринимательского бренда, для бренд-ориентированной компании, для компании с брендом-идентификатором. 
Умеет собрать емкий, компактный и функциональный отчет, содержащий пользу для клиента. 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</si>
  <si>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Умеет проводить сложные аудиты бренда: 
- рассинхронизация команды клиента, 
- супер-бриф, в котором много вводных, 
- много неопределенности в вводных. 
Умеет модерировать обсуждение на сессии синхронизации с клиентом.
</t>
    </r>
  </si>
  <si>
    <t>Семиотика и/или трендвотчинг — 
 ⭐навык с высоким весом⭐</t>
  </si>
  <si>
    <t>Для соответствия уровню достаточно уверенного владения одной из компетенций блока</t>
  </si>
  <si>
    <t xml:space="preserve">Ознакомлен с методологией семиотики и основами трендвочинга. 
Участвует как ассистент по сбору материалов. Может самостоятельно собрать одну-две ветки на карте трендов, материал для нескольких семиотических кодов. </t>
  </si>
  <si>
    <t xml:space="preserve">Умеет проводить простые семиотические анализы текстов и изображений. Может самостоятельно сформулировать тему исследования, исходя из задач проекта.
Самостоятельно собирает и анализирует данные, может отвечать за сборку стандартной тренд-карты. Углубленное понимание трендов и их влияния на различные отрасли. </t>
  </si>
  <si>
    <t xml:space="preserve">Уверенно применяет семиотическкий анализ для сложных объектов исследования. Разрабатывает методологию семиотических исследований. Умеет модерировать обсуждение кодов командой и направять команду стратегов при разработке позиционирования. 
Владеет продвинутыми методами трендвочинга. Дает стратегические рекомендации на основе трендов
Супервизирует других специалистов, наставляет и делится опытом. </t>
  </si>
  <si>
    <t xml:space="preserve">Архитектура бренда — 
⭐навык с высоким весом⭐
</t>
  </si>
  <si>
    <t>Работа с портфелем брендом компании, определение ролей брендов и типов связи между ними</t>
  </si>
  <si>
    <t xml:space="preserve">Знает основы теории: типы бренд-архитектур, термины и понятия. 
Понимает роли брендов и типы связей. </t>
  </si>
  <si>
    <t>Может предложить несколько архитектурных сценариев, опираясь на собранную проблематику клиента. 
Может дать общие стратегические рекомендации / последствия архитектурных решений</t>
  </si>
  <si>
    <r>
      <rPr>
        <rFont val="Arial"/>
        <b/>
        <color theme="1"/>
        <sz val="8.0"/>
      </rPr>
      <t>В дополнение к предыдущему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 xml:space="preserve">Умеет разрабатывать архитектуру бренда на уровне PRO: собрать и проранжировать критерии, создать алгоритм для определения типа связи (систему для принятия будущих решений). Знает, как обосновать решение на уровне С-левела. 
Может структурировать сложный архитектурынй портфель и решить особые затеи клиентов. </t>
    </r>
  </si>
  <si>
    <t>Понимание, как можно интегрировать бренд в продукт и сервис. Построение CJM</t>
  </si>
  <si>
    <t>Понимает базовую связь: гипотеза позиционирования должна отражаться в продукте и сервисе. 
Может с супервизией сопоставить отдельные элементы опыта (тон общения, внешний вид интерфейса, формат сервиса) с идеей бренда (где соответствует, где нет).</t>
  </si>
  <si>
    <t xml:space="preserve">Может построить CJM, зафикисровать этапы пути, мотивы и барьеры, эмоции и ожидания клиента. 
Способен оценивать существующие элементы опыта через бренд: подсветить, где клиентский опыт поддерживает бренд‑обещание, а где ему противоречит.
Переводит гипотезу позиционирования в верхнеуровневые требования к продукту и сервису: что должно быть обязательно, что нежелательно. 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</si>
  <si>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Формулирует принципы для смежных команд (продукт/сервис/коммуникации), не уходя в детальный продуктовый дизайн. 
Формулирует принципы и гайды для разных команд (продукт, сервис, поддержка, фронт‑офис), чтобы решения по улучшению не противоречили бренду. </t>
    </r>
  </si>
  <si>
    <t>Понимает, на какие вопросы отвечает коммуникационная стратегия. Знает о видах комстратов. 
Может участовать в разработке как поддерживающий (второй) стратег на проекте</t>
  </si>
  <si>
    <t xml:space="preserve">Умеет качественно делать стандартные комстраты (funnel based). 
Умеет верхнеуровнево прописать календарный план активаций  и гармонизировать его с системой сообщений и каналов. </t>
  </si>
  <si>
    <t xml:space="preserve">Понимает, в каких случаях какой тип комстрата подходит. Умеет делать комстраты разного типа: funnel based, pillar based, seasonal и другие. 
Может сделать кастомизацию коммуникационной стратегии под задачи клиента. 
Супервизирует других специалистов, наставляет и делится опытом. </t>
  </si>
  <si>
    <t>Знает теоретические основы построения бренда работодателя.
Понимает устройства HR-функции в бизнесе и примерный круг лиц, с которыми будет работать на проекте.</t>
  </si>
  <si>
    <t xml:space="preserve">Понимает отличия проектов про бренд работодателя от классических проектов. 
Умеет собирать EVP для одной целевой аудитории. 
 </t>
  </si>
  <si>
    <t>Может разработать единую стратегию бренда работодателя с EVP для нескольких целевых аудиторий</t>
  </si>
  <si>
    <t>Участвует в подготовке сценария воркшопа: помогает оформить раздаточные материалы, может накрафтить упражнения.
Пока не может самостоятельно собрать полноценный сценарий воркшопа.</t>
  </si>
  <si>
    <t xml:space="preserve">Может самостоятельно собрать полноценный сценарий воркшопа. 
Умеет создавать сценарии разных воркшопов: стратегические (выбор концепции), имплементационные (внедрение результатов исследований и стратегических разработок). 
Умеет адаптировать сценарий под онлайн и офлайн форматы. </t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</si>
  <si>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color theme="1"/>
        <sz val="8.0"/>
      </rPr>
      <t xml:space="preserve">Умеет делать нестандартные воркшопы, включая архитектурные.
Умеет найти упражнения и фреймворки для решения нестандартных задач. Может разработать сценарий рабочей сессии за пределами бренд-задач: на определение ключевой амбиции компании и способов ее достижения (Simple), на разработку названия бренда.
Супервизирует других специалистов, наставляет и делится опытом. </t>
    </r>
  </si>
  <si>
    <t>Может быть одним из модераторов воркшопа с простой аудиторией (специалисты) и маркетинговыми топами (СМО, бренд-директор). 
Есть опыт модерации воркшопов офлайн и онлайн</t>
  </si>
  <si>
    <t>Больший опыт эффективной модерации воркшопов, онлайн/офлайн, длительных/коротких (C level, эксперты), понимание разных методик модераций
Может вести воркшоп как главный модератор, управляя командой из нескольких модераторов</t>
  </si>
  <si>
    <t>Работа с брифами, сопровождение дизайн- и креативных команд</t>
  </si>
  <si>
    <t xml:space="preserve">Понимает ключевую задачу брифа, знает критерии хорошего брифа. </t>
  </si>
  <si>
    <t xml:space="preserve">Умеет собирать развернутый бриф на дизайн. Знает, как забрифовать и вдохновить дизайн-команду. 
Умеет писать стратегические подводки под дизайн-концепции. </t>
  </si>
  <si>
    <r>
      <rPr>
        <rFont val="Arial"/>
        <b/>
        <color theme="1"/>
        <sz val="8.0"/>
      </rPr>
      <t>В дополнение к предыдущему</t>
    </r>
    <r>
      <rPr>
        <rFont val="Arial"/>
        <color theme="1"/>
        <sz val="8.0"/>
      </rPr>
      <t xml:space="preserve">
Понимает роль стратега в дизайн-процессе. Умеет давать комментарии только про «в бриф / не бриф», не заходя на территорию арт-директора и не комментируя дизайн. 
Супервизирует других специалистов, наставляет и делится опытом. </t>
    </r>
  </si>
  <si>
    <t xml:space="preserve">Умеет превратить задачу бренда в бриф на креатив: перейти от business view к consumer view, сформулировать напряжение (tention), инсайт, роль бренда. 
Умеет собирать бриф по структуре (GET / WHO / TO / BY). 
Знает, как забрифовать и вдохновить креаторов. Умеет брифовать на идею, а не на экзекьюшн. </t>
  </si>
  <si>
    <r>
      <rPr>
        <rFont val="Arial"/>
        <b/>
        <color theme="1"/>
        <sz val="8.0"/>
      </rPr>
      <t>В дополнение к предыдущему</t>
    </r>
    <r>
      <rPr>
        <rFont val="Arial"/>
        <color theme="1"/>
        <sz val="8.0"/>
      </rPr>
      <t xml:space="preserve">
Умеет собирать креативные брифы по разным формулам; знает, в каком случае какая формула пригодится. 
Умеет собирать брифы на креативную рамку, большую идею, идею рекламной кампании и любой другой продукт креаторов/копирайтеров. 
Супервизирует других специалистов, наставляет и делится опытом.</t>
    </r>
  </si>
  <si>
    <t xml:space="preserve">Умеет работать с чат-ботами, писать адекватные промпты.
На постоянной основе использует AI-сервисы для разных задач. </t>
  </si>
  <si>
    <t xml:space="preserve">Умеет работать с AI-агентами: выстроить рабочее пространство, в котором AI знает проект, помнит контекст, сам находит нужные файлы (условно: работает в Cursor или Claude Cowork). </t>
  </si>
  <si>
    <t>Умеет настраивать ИИ-агентов под задачу. Может наладить процесс так, чтобы только оркестировать и валидировать результат, а выполнение самой задачи отдать разным агентам</t>
  </si>
  <si>
    <t>В прикладном смысле это способность:
🔵 видеть систему, а не отдельную задачу
🔵 работать сразу с несколькими временными горизонтами (прошлым и будущим)
🔵 рассматривать альтернативные сценарии, а не один план А; думать категориями выигрыша / позиции / фокуса
🔵 понимать причинно-следственные связи: почему это происходит и к чему приведет</t>
  </si>
  <si>
    <t>🖇 Генри Минцберг — «Школы стратегий»
Помогает увидеть, что стратегия — это не единый «правильный подход», а набор разных логик мышления и принятия решений.
🖇 Майкл Портер — «Конкурентная стратегия»
Про стратегический выбор, ограничения и последствия — без романтизации.
🖇 Richard Rumelt — Good Strategy / Bad Strategy
О том, почему стратегия — это фокус и осознанный выбор, а не набор амбициозных формулировок.
🖇**Roger Martin — Playing to Win
Стратегическое мышление как последовательность конкретных управленческих решений.</t>
  </si>
  <si>
    <r>
      <rPr>
        <rFont val="Arial"/>
        <b/>
        <color rgb="FF000000"/>
      </rPr>
      <t xml:space="preserve">аналитическое мышление 
</t>
    </r>
    <r>
      <rPr>
        <rFont val="Arial"/>
        <color rgb="FF999999"/>
      </rPr>
      <t>структурировать информацию, замечать закономерности, делать обоснованные выводы</t>
    </r>
  </si>
  <si>
    <r>
      <rPr>
        <rFont val="Arial"/>
        <color theme="1"/>
        <sz val="8.0"/>
      </rPr>
      <t xml:space="preserve">Умеет структурировать информацию, осмысленно сгруппировать данные. Может объяснить логику анализа: почему данные структурированы именно так. 
Есть навык формулирования вопросов к данным: не смотрит, что есть в наличии, а понимает что именно он хочет выяснить.
</t>
    </r>
    <r>
      <rPr>
        <rFont val="Arial"/>
        <i/>
        <color theme="1"/>
        <sz val="8.0"/>
      </rPr>
      <t>Фокус: правильно прочитать и пересказать данные; заметить, что происходит</t>
    </r>
  </si>
  <si>
    <r>
      <rPr>
        <rFont val="Arial"/>
        <b/>
        <color theme="1"/>
        <sz val="8.0"/>
      </rPr>
      <t xml:space="preserve">В дополнение к предыдущему
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 xml:space="preserve">Умеет не только заметить изменения, но и объяснить / предположить причины (опираясь на даные). Понимает, чего данные не показывают. Может сформулировать гипотезы до анализа и проверить их на данных, не подгоняя выводы под желаемый результат. 
Может поставить под сомнение саму логику анализа, переструктурировать данные или даже переосмыслить исходную задачу.
</t>
    </r>
    <r>
      <rPr>
        <rFont val="Arial"/>
        <i/>
        <color theme="1"/>
        <sz val="8.0"/>
      </rPr>
      <t xml:space="preserve">Фокус: объяснить, почему это происходит </t>
    </r>
  </si>
  <si>
    <r>
      <rPr>
        <rFont val="Arial"/>
        <b/>
        <color theme="1"/>
        <sz val="8.0"/>
      </rPr>
      <t>В дополнение к предыдущему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 xml:space="preserve">Использует анализ как инструмент суждения:  видит, чего данные не показывают, и принимает решения в условиях неполной информации. 
Способен удерживать противоречивые сигналы и брать ответственность за интерпретацию. Отсекает избыточный анализ.
</t>
    </r>
    <r>
      <rPr>
        <rFont val="Arial"/>
        <i/>
        <color theme="1"/>
        <sz val="8.0"/>
      </rPr>
      <t xml:space="preserve">
Фокус: перевести анализ в выводы и решения (вот что это значит и что можно с этим сделать)</t>
    </r>
  </si>
  <si>
    <r>
      <rPr>
        <rFont val="Arial"/>
        <b/>
        <color rgb="FF000000"/>
      </rPr>
      <t>логическое мышление</t>
    </r>
    <r>
      <rPr>
        <rFont val="Arial"/>
        <color rgb="FF000000"/>
      </rPr>
      <t xml:space="preserve"> 
</t>
    </r>
    <r>
      <rPr>
        <rFont val="Arial"/>
        <color rgb="FF999999"/>
      </rPr>
      <t>отсекать лишнее и фокусировать на главном, упрощать сложное</t>
    </r>
  </si>
  <si>
    <t>Мыслит последовательно и непротиворечиво. 
Еще не всегда чувствует приоритеты: не везде понимает, что является главным, сохраняет детали на всякий случай. 
Убирает очевидно лишнее, если на это указали</t>
  </si>
  <si>
    <t xml:space="preserve">Умеет выделять главное и второстепенное. Осознанно отбрасывает детали, не влияющие на решение. Упрощает сложное без потери глубины. 
Иногда может перестраховываться деталями, если боится что-то упустить. 
Умеет сократить 30 слайдов до 10 без потери логики. 
</t>
  </si>
  <si>
    <t xml:space="preserve">Не просто упрощает, а определяет, что вообще достойно внимания; видит центральный конфликт / ключевые моменты, влияющие на решение. 
В любой непонятной ситуации делает ситуацию понятной. Удерживает свой фокус, создает фокус для других: в ситуациях, где все смешалось, возвращает к главному и помогает распутаться. Умеет курировать: фокусировать себя, команду и бизнес на важном. 
Умеет свести всю инфу к 5 слайдам execituve summary, чтобы обсудить ключевые моменты. </t>
  </si>
  <si>
    <r>
      <rPr>
        <rFont val="Arial"/>
        <b/>
        <color rgb="FF000000"/>
      </rPr>
      <t>диагностическое мышление</t>
    </r>
    <r>
      <rPr>
        <rFont val="Arial"/>
        <color rgb="FF000000"/>
      </rPr>
      <t xml:space="preserve"> 
</t>
    </r>
    <r>
      <rPr>
        <rFont val="Arial"/>
        <color rgb="FF999999"/>
      </rPr>
      <t>различать симптомы и причины, способность распаковывать запрос и сформулировать проблему</t>
    </r>
    <r>
      <rPr>
        <rFont val="Arial"/>
        <color rgb="FF000000"/>
      </rPr>
      <t xml:space="preserve"> </t>
    </r>
  </si>
  <si>
    <t xml:space="preserve">Может заметить несоответствие и уточнить проблему (под руководством более опытного стратега)
Может анализировать симптом, не осознавая, что это не корень проблемы. 
Редко ставит под сомнение постановку задачи, принимает формулировку клиента как рабочую гипотезу. </t>
  </si>
  <si>
    <t xml:space="preserve">Быстро определяет суть задачи и отделяет симптом от причины. 
Может переформулировать проблему, найти первопричину и предотвратить работу над псевдо-проблемами. Аргументированно объяснит, почему исходная формулировка неверна. 
Работает с первопричинами, но в рамках исходного бизнес-запроса; не меняет уровень проблемы. </t>
  </si>
  <si>
    <r>
      <rPr>
        <rFont val="Arial"/>
        <color theme="1"/>
        <sz val="8.0"/>
      </rPr>
      <t xml:space="preserve">Может менять уровень проблемы. Формулирует проблему лучше, чем сам клиент. 
Умеет понять, что задача </t>
    </r>
    <r>
      <rPr>
        <rFont val="Arial"/>
        <i/>
        <color theme="1"/>
        <sz val="8.0"/>
      </rPr>
      <t>обновить ценности компании</t>
    </r>
    <r>
      <rPr>
        <rFont val="Arial"/>
        <color theme="1"/>
        <sz val="8.0"/>
      </rPr>
      <t xml:space="preserve"> может значить и работу с брендом работодателя, и работу со стратегическими целями, миссией и видением.
Может поспорить с брифом: отказаться от исходного запроса как неверного. Может проконсультировать клиента на счет того, что нужно уточнить, на какие вопросы нужно ответить, чтобы выявить реальную проблему и задачу. </t>
    </r>
  </si>
  <si>
    <r>
      <rPr>
        <rFont val="Arial"/>
        <b/>
        <color rgb="FF000000"/>
      </rPr>
      <t>креативное мышление</t>
    </r>
    <r>
      <rPr>
        <rFont val="Arial"/>
        <color rgb="FF000000"/>
      </rPr>
      <t xml:space="preserve"> 
</t>
    </r>
    <r>
      <rPr>
        <rFont val="Arial"/>
        <color rgb="FF999999"/>
      </rPr>
      <t>выходить за пределы очевидных решений, генерировать новые подходы и формулировать оригинальные идеи, сохраняя их стратегическую уместность</t>
    </r>
  </si>
  <si>
    <t xml:space="preserve">Предлагает несколько альтернативных решений, не ограничивается первым очевидным вариантом. Может мыслить ассоциативно. 
Способен немного раздвинуть заданную рамку. Ищет вдохновение в примерах и аналогиях.
Больше про количество идей, чем про их стратегическую уместность. </t>
  </si>
  <si>
    <t xml:space="preserve">Способен предложить неожиданное и обоснованное решение. 
Идеи не случайные, нестандартность подкреплена логикой, применимой к задаче, а не просто примерами и аналогиями. 
Хочет делать нестандартно, не мыслить по инерции. </t>
  </si>
  <si>
    <t xml:space="preserve">Видит неожиданные связи там, где другие видят ограничения. 
Умеет соединять разные контексты и категории так, чтобы на персечении этого возникали изящные, элегантные идеи, вызывающие удивление и ощущение новизны, свежести. </t>
  </si>
  <si>
    <r>
      <rPr>
        <rFont val="Arial"/>
        <b/>
        <color rgb="FF000000"/>
      </rPr>
      <t>helicopter view</t>
    </r>
    <r>
      <rPr>
        <rFont val="Arial"/>
        <color rgb="FF000000"/>
      </rPr>
      <t xml:space="preserve"> 
</t>
    </r>
    <r>
      <rPr>
        <rFont val="Arial"/>
        <color rgb="FF999999"/>
      </rPr>
      <t>видеть систему, а не отдельную задачу</t>
    </r>
  </si>
  <si>
    <t>В общем виде понимает, зачем проект нужен бизнесу, может связать цель проекта с 1–2 бизнес-целями.
Обычно принимает формулировку задачи как данность</t>
  </si>
  <si>
    <t>Видит бизнес как систему, учитывает эту систему при решении своей задачи. Понимает, как соседние функции аффектят на наш проект. Может объяснить, как результаты нашего проекта в свою очередь повлияют на бизнес-результат и соседние функции.
При разработке стратегии мыслит не абстрактно (можно вот так), а с пониманием ограничений (эта компания может только вот так, потому что: ресурсы, зрелость команды, контекст рынка). 
Чаще работает в рамках текущего уровня задачи, реже пересобирает саму постановку задачи</t>
  </si>
  <si>
    <t xml:space="preserve">Умеет не только посмотреть на задачи компании глобально (зачем компании это сейчас) и связать задачу нашего проекта с внутренним и внешним контекстом бизнеса, но и определить, правильная ли сама задача. 
Может пересобрать задачу и помочь команде не делать правильную работу над неправильной задачей. </t>
  </si>
  <si>
    <t xml:space="preserve">Способность выстраивать с клиентом отношения, при которых стратег воспринимается не как исполнитель или поставщик услуги, а как доверенный стратегический советник, с которым безопасно думать, сомневаться и принимать сложные решения
Сюда входит: психологическая безопасность для клиента и работа с уязвимостью; позиция в отношениях (исполнитель, партнер по размышлению, стратегический консультант); ориентиаиця во времени (задача, проект, отношения). 
</t>
  </si>
  <si>
    <r>
      <rPr>
        <rFont val="Arial"/>
        <color theme="1"/>
        <sz val="8.0"/>
      </rPr>
      <t xml:space="preserve">Не разрушает доверия. 
Аккуратно формулирует мысли, избегает давления и категоричности. Вежлив, корректен, уважителен к позиции клиента. Не спорит ради демонстрации ума, не обесценивает вопросы и сомнения клиента. 
Может иметь высокую self-orientation (ориентация на себя). 
</t>
    </r>
    <r>
      <rPr>
        <rFont val="Arial"/>
        <i/>
        <color theme="1"/>
        <sz val="8.0"/>
      </rPr>
      <t>Фокус: текущая задача</t>
    </r>
  </si>
  <si>
    <r>
      <rPr>
        <rFont val="Arial"/>
        <color theme="1"/>
        <sz val="8.0"/>
      </rPr>
      <t xml:space="preserve">Активный партнер по размышлению, который помогает клиенту прояснять ситуацию и принимать решения. 
Низкая self-orientation: фокус на потребностях клиента, а не желание продать, доказать ум, выглядеть экспертом, понравиться. Стремление решить задачу клиента, а не просто сделать продукт. 
Умение создать такую атмосферу взаимодействия, в которой клиент чувствует себя в безопасности и может проявить свою уязвимость: сказать то, что не говорит другим; показаться некомпетентным; признать сомнения, страхи, ограничения.
Помогает клиенту сформулировать сомнения и ограничения. Способен мягко оспаривать позицию клиента, опираясь на цели и контекст. 
</t>
    </r>
    <r>
      <rPr>
        <rFont val="Arial"/>
        <i/>
        <color theme="1"/>
        <sz val="8.0"/>
      </rPr>
      <t>Фокус: проект</t>
    </r>
  </si>
  <si>
    <r>
      <rPr>
        <rFont val="Arial"/>
        <color rgb="FF000000"/>
        <sz val="8.0"/>
      </rPr>
      <t xml:space="preserve">Trusted advisor. Доверенный стратегический советник, с которым клиент обсуждает не только проект, но и более широкие управленческие дилеммы. 
Тот, кому клиент сам приносит сложные, чувствительные темы. 
Может говорить неприятные вещи без разрушения доверия. Умеет работать с неопределенностью и страхами клиента. Мыслит категориями последствий и долгосрочных эффектов. 
</t>
    </r>
    <r>
      <rPr>
        <rFont val="Arial"/>
        <i/>
        <color rgb="FF000000"/>
        <sz val="8.0"/>
      </rPr>
      <t>Фокус: долгосрочные отношения</t>
    </r>
  </si>
  <si>
    <t>Стремление заоунить и достичь цели (доделать, переделать, найти решение, даже когда что-то идет не так). 
Способность сохранять эффективность при сжатых сроках, неопределенности и изменениях, критике; умение справляться с нагрузкой (речь не идет о работе на износ)</t>
  </si>
  <si>
    <t>Берет ответственность за свою часть проекта и доводит работу до конца. 
Может аргументировать свои предложения в своей части проекта (например, почему список конкурентов такой).</t>
  </si>
  <si>
    <t xml:space="preserve">Берет ответственность за стандартные проекты. 
Проявляет проактивность: пушит проект, если он застрял; решает проблемы, если что-то случилось: договаривается, перестраивает процесс.
Умеет пойти на осознанный компромисс в части качества, объемов и сроков работы + объяснить его. 
Пока еще нуждается в супервизии на проектах с высокой неопределенностью. Может обращаться за поддержкой, когда нужно принять решение. 
</t>
  </si>
  <si>
    <t>Берет ответственность за нестандартные проекты + за процесс. Умеет перестроить проект, если этого требуют новые вводные. 
Устойчив на длиной дистанции: умеет не сбавлять темп в длинных проектах, восстанавливаться после провалов и критики, вытаскивать проект обратно к позитивному состоянию. 
Принимает решения в условиях неопределенности, даже когда недостаточно данных (не отказывается от принятия решения).</t>
  </si>
  <si>
    <t>Понимание культуры компании, умение учитывать ее особенности при работе с людьми и разработке бренд-стратегии</t>
  </si>
  <si>
    <t>Замечает основные проявления культуры: как люди общаются, как относятся к ошибкам, что считается нормой. 
Видит очевидные расхождения между словами (ценности, миссия) и повседневными практиками, фиксирует их и передаёт старшим коллегам.</t>
  </si>
  <si>
    <t xml:space="preserve">Может четко описать текущую культуру через поведение людей и управленческие практики (как принимаются решения, как дают обратную связь, как относятся к инициативе и так далее). 
Понимает, какую стратегию такая культура съест на завтрак. Предлагает такие гипотезы позиционирования, которые смогут быть реализованы в этой культуре. 
Уверенно работает в ситуации, когда культура остается неизменной.
</t>
  </si>
  <si>
    <t>Умеет работать в проектах, которые идут параллельно с изменением культуры компании, и учитывать культурный разворот при разработке гипотез позиционирования.
Понимает, какие паттерны поведения и управленческие практики нужно усилить, ослабить, запустить, изменить или отменить, чтобы бренд‑ориентированная стратегия была реализуема.
Удерживает разговор о культуре в плоскости конкретных решений и практик, а не деклараций.</t>
  </si>
  <si>
    <t>Умение планировать работу, расставлять приоритеты, соблюдать дедлайны; работать без постоянного контроля</t>
  </si>
  <si>
    <t xml:space="preserve">Умеет организовать себя и работу над задачей. Соблюдает дедлайны, обеспечивает прозрачность статусов по своей работе (репортит сам). 
Запрашивает помощь тогда, когда это нужно, а не в последний момент. </t>
  </si>
  <si>
    <t xml:space="preserve">Умеет планировать свою работу над проектом или несколькими проектами. Стабильно работает с несколькими задачами/проектами без потери качества. 
Понимает как расставить приоритеты (в рамках рабочего дня, недели), чтобы выдать нужный результат к дедлайнам по разным задачам. </t>
  </si>
  <si>
    <t xml:space="preserve">Умеет комбинировать работу руками и головой: делать свой проект + супервизировать специалистов на других проектах.
Улучшает процесс работы (инструкции, шаблоны, шпаргалки). </t>
  </si>
  <si>
    <t>Умение слушать и слышать, ясно излагать мысли, аргументировать свою позицию. Навыки презентации и спикерста</t>
  </si>
  <si>
    <t xml:space="preserve">Умеет задавать уточняющие вопросы и понимать, что собеседник имел в виду. 
Говорит и пишет понятно, однозначно, фиксирует договоренности. 
Может четко объяснить свою часть работы, рассказать по структуре и не теряться, ответить на вопросы по существу. </t>
  </si>
  <si>
    <r>
      <rPr>
        <rFont val="Arial"/>
        <b/>
        <color theme="1"/>
        <sz val="8.0"/>
      </rPr>
      <t>В дополнение к предыдущему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>Умеет слушать и не перебивать, может замедлять разговор, когда клиенту нужно подумать вслух. Понимает невысказанное. 
Умеет понятно сформулировать мысль и донести ее до собеседника. Расставляет смысловые акценты и удерживает внимание аудитории в процессе презентации.
Адаптирует аргументы под аудиторию (клиент, продюсер, рисечер, стратег, дизайнер, креатор). Может защитить свою идею.</t>
    </r>
  </si>
  <si>
    <r>
      <rPr>
        <rFont val="Arial"/>
        <b/>
        <color theme="1"/>
        <sz val="8.0"/>
      </rPr>
      <t>В дополнение к предыдущему</t>
    </r>
    <r>
      <rPr>
        <rFont val="Arial"/>
        <color theme="1"/>
        <sz val="8.0"/>
      </rPr>
      <t xml:space="preserve">
Уверенно работает с жесткими вопросами и возражениями. Сохраняет уважение к позиции собеседника и слышит его, даже когда несогласен. 
Умеет довести до ясности сложную мысль и донести ее. Не теряет нить в сложных разговорах или разговорах с большим количеством участников. 
Уверенно выступает перед разной аудиторией, включая С-level. Передает уверенность собеседнику (команде). Может импровизировать без потери структуры (я и есть презентация). Отрабатывает комментарии в моменте и эффективно коммуницирует с аудиторией в процессе презентации. </t>
    </r>
  </si>
  <si>
    <t xml:space="preserve">Умение работать в команде, ставить задачи, делегировать, принимать и давать обратную связь </t>
  </si>
  <si>
    <t>Строит рабочие отношения: понимает роли каждого в команде и не тянет одеяло на себя. 
Принимает конструктивную обратную связь без обороны. Умеет понимать образ результата, слышать фидбэк и на основе него дорабатывать продукт</t>
  </si>
  <si>
    <t xml:space="preserve">Умеет работать в команде: делиться информацией, помогать колегам, принимать чужие идеи и развивать их, работать на общий результат.
Умеет ставить задачу другому специалисту (стратегу или исследователю), включая фрилансеров. Умеет давать обратную связь конструктивно, чтобы было понятно, что нужно изменить и хотелось это сделать. 
Умеет работать с тим-лидом и/или хэдом: понимать образ результата, слышать фидбэк и на основе него дорабатывать продукт. Учится работать в паре с младшим стратегом и выступать в роли наставника. </t>
  </si>
  <si>
    <r>
      <rPr>
        <rFont val="Arial"/>
        <b/>
        <color theme="1"/>
        <sz val="8.0"/>
      </rPr>
      <t>В дополнение к предыдущему</t>
    </r>
    <r>
      <rPr>
        <rFont val="Arial"/>
        <i/>
        <color theme="1"/>
        <sz val="8.0"/>
      </rPr>
      <t xml:space="preserve">
</t>
    </r>
    <r>
      <rPr>
        <rFont val="Arial"/>
        <color theme="1"/>
        <sz val="8.0"/>
      </rPr>
      <t xml:space="preserve">Помогает другим выстроить работу: разделить работу на смысловые куски, расставить приоритеты, установить дедлайны. 
Знает, кому в команде какие задачи лучше делегировать. Наставничество становится нормой: обучает младших специалистов продукту и методологии, развивает через обратную связь.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</si>
</sst>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0000"/>
      <name val="Arial"/>
      <scheme val="minor"/>
    </font>
    <font>
      <sz val="12.0"/>
      <color rgb="FFFFFFFF"/>
      <name val="Arial"/>
      <scheme val="minor"/>
    </font>
    <font>
      <sz val="16.0"/>
      <color rgb="FFFFFFFF"/>
      <name val="Arial"/>
      <scheme val="minor"/>
    </font>
    <font>
      <b/>
      <color rgb="FF999999"/>
      <name val="Arial"/>
      <scheme val="minor"/>
    </font>
    <font>
      <sz val="8.0"/>
      <color theme="1"/>
      <name val="Arial"/>
      <scheme val="minor"/>
    </font>
    <font>
      <color rgb="FF999999"/>
      <name val="Arial"/>
      <scheme val="minor"/>
    </font>
    <font>
      <sz val="8.0"/>
      <color rgb="FF000000"/>
      <name val="Arial"/>
      <scheme val="minor"/>
    </font>
    <font>
      <b/>
      <color theme="1"/>
      <name val="Arial"/>
      <scheme val="minor"/>
    </font>
    <font>
      <b/>
      <sz val="16.0"/>
      <color rgb="FF999999"/>
      <name val="Arial"/>
      <scheme val="minor"/>
    </font>
    <font>
      <b/>
      <sz val="16.0"/>
      <color theme="1"/>
      <name val="Arial"/>
      <scheme val="minor"/>
    </font>
    <font>
      <color rgb="FFB7B7B7"/>
      <name val="Arial"/>
      <scheme val="minor"/>
    </font>
    <font>
      <sz val="10.0"/>
      <color theme="1"/>
      <name val="Arial"/>
      <scheme val="minor"/>
    </font>
    <font>
      <b/>
      <sz val="16.0"/>
      <color rgb="FF000000"/>
      <name val="Arial"/>
      <scheme val="minor"/>
    </font>
    <font>
      <sz val="8.0"/>
      <color rgb="FF999999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sz val="8.0"/>
      <color rgb="FF9900FF"/>
      <name val="Arial"/>
      <scheme val="minor"/>
    </font>
    <font>
      <u/>
      <color rgb="FF0000FF"/>
    </font>
    <font>
      <sz val="8.0"/>
      <color rgb="FFFF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ont="1">
      <alignment horizontal="left" readingOrder="0" vertical="center"/>
    </xf>
    <xf borderId="0" fillId="2" fontId="5" numFmtId="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2" numFmtId="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vertical="top"/>
    </xf>
    <xf borderId="0" fillId="0" fontId="13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2" fillId="3" fontId="0" numFmtId="0" xfId="0" applyAlignment="1" applyBorder="1" applyFill="1" applyFont="1">
      <alignment horizontal="center" readingOrder="0" shrinkToFit="0" vertical="center" wrapText="1"/>
    </xf>
    <xf borderId="2" fillId="4" fontId="0" numFmtId="0" xfId="0" applyAlignment="1" applyBorder="1" applyFill="1" applyFont="1">
      <alignment horizontal="center" readingOrder="0" shrinkToFit="0" vertical="center" wrapText="1"/>
    </xf>
    <xf borderId="3" fillId="4" fontId="0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vertical="top" wrapText="1"/>
    </xf>
    <xf borderId="0" fillId="3" fontId="14" numFmtId="0" xfId="0" applyAlignment="1" applyFont="1">
      <alignment horizontal="center" readingOrder="0" shrinkToFit="0" vertical="center" wrapText="1"/>
    </xf>
    <xf borderId="5" fillId="3" fontId="1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 vertical="top"/>
    </xf>
    <xf borderId="4" fillId="0" fontId="1" numFmtId="0" xfId="0" applyAlignment="1" applyBorder="1" applyFont="1">
      <alignment readingOrder="0" vertical="top"/>
    </xf>
    <xf borderId="0" fillId="4" fontId="14" numFmtId="0" xfId="0" applyAlignment="1" applyFont="1">
      <alignment horizontal="center" readingOrder="0" shrinkToFit="0" vertical="center" wrapText="1"/>
    </xf>
    <xf borderId="5" fillId="4" fontId="14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readingOrder="0" shrinkToFit="0" vertical="top" wrapText="1"/>
    </xf>
    <xf borderId="7" fillId="3" fontId="14" numFmtId="0" xfId="0" applyAlignment="1" applyBorder="1" applyFont="1">
      <alignment horizontal="center" readingOrder="0" shrinkToFit="0" vertical="center" wrapText="1"/>
    </xf>
    <xf borderId="8" fillId="3" fontId="1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top"/>
    </xf>
    <xf borderId="0" fillId="0" fontId="10" numFmtId="0" xfId="0" applyAlignment="1" applyFont="1">
      <alignment readingOrder="0" vertical="top"/>
    </xf>
    <xf borderId="0" fillId="0" fontId="10" numFmtId="0" xfId="0" applyAlignment="1" applyFont="1">
      <alignment vertical="top"/>
    </xf>
    <xf borderId="3" fillId="3" fontId="0" numFmtId="0" xfId="0" applyAlignment="1" applyBorder="1" applyFont="1">
      <alignment horizontal="center" readingOrder="0" shrinkToFit="0" vertical="center" wrapText="1"/>
    </xf>
    <xf borderId="0" fillId="3" fontId="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top"/>
    </xf>
    <xf borderId="6" fillId="0" fontId="1" numFmtId="0" xfId="0" applyAlignment="1" applyBorder="1" applyFont="1">
      <alignment readingOrder="0" vertical="top"/>
    </xf>
    <xf borderId="7" fillId="3" fontId="0" numFmtId="0" xfId="0" applyAlignment="1" applyBorder="1" applyFont="1">
      <alignment horizontal="center" readingOrder="0" shrinkToFit="0" vertical="center" wrapText="1"/>
    </xf>
    <xf borderId="7" fillId="4" fontId="14" numFmtId="0" xfId="0" applyAlignment="1" applyBorder="1" applyFont="1">
      <alignment horizontal="center" readingOrder="0" shrinkToFit="0" vertical="center" wrapText="1"/>
    </xf>
    <xf borderId="8" fillId="4" fontId="0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readingOrder="0" shrinkToFit="0" vertical="top" wrapText="1"/>
    </xf>
    <xf borderId="10" fillId="3" fontId="12" numFmtId="4" xfId="0" applyAlignment="1" applyBorder="1" applyFont="1" applyNumberFormat="1">
      <alignment horizontal="center" readingOrder="0" shrinkToFit="0" vertical="center" wrapText="1"/>
    </xf>
    <xf borderId="11" fillId="3" fontId="12" numFmtId="4" xfId="0" applyAlignment="1" applyBorder="1" applyFont="1" applyNumberFormat="1">
      <alignment horizontal="center" readingOrder="0" shrinkToFit="0" vertical="center" wrapText="1"/>
    </xf>
    <xf borderId="10" fillId="5" fontId="12" numFmtId="4" xfId="0" applyAlignment="1" applyBorder="1" applyFill="1" applyFont="1" applyNumberFormat="1">
      <alignment horizontal="center" readingOrder="0" shrinkToFit="0" vertical="center" wrapText="1"/>
    </xf>
    <xf borderId="10" fillId="4" fontId="12" numFmtId="4" xfId="0" applyAlignment="1" applyBorder="1" applyFont="1" applyNumberFormat="1">
      <alignment horizontal="center" readingOrder="0" shrinkToFit="0" vertical="center" wrapText="1"/>
    </xf>
    <xf borderId="11" fillId="4" fontId="12" numFmtId="4" xfId="0" applyAlignment="1" applyBorder="1" applyFont="1" applyNumberFormat="1">
      <alignment horizontal="center" readingOrder="0" shrinkToFit="0" vertical="center" wrapText="1"/>
    </xf>
    <xf borderId="10" fillId="3" fontId="15" numFmtId="4" xfId="0" applyAlignment="1" applyBorder="1" applyFont="1" applyNumberFormat="1">
      <alignment horizontal="center" readingOrder="0" shrinkToFit="0" vertical="center" wrapText="1"/>
    </xf>
    <xf borderId="10" fillId="4" fontId="15" numFmtId="4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shrinkToFit="0" vertical="top" wrapText="1"/>
    </xf>
    <xf borderId="9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2" fillId="3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7" fillId="3" fontId="7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shrinkToFit="0" vertical="top" wrapText="1"/>
    </xf>
    <xf borderId="12" fillId="0" fontId="17" numFmtId="0" xfId="0" applyAlignment="1" applyBorder="1" applyFont="1">
      <alignment readingOrder="0" shrinkToFit="0" vertical="top" wrapText="1"/>
    </xf>
    <xf borderId="13" fillId="3" fontId="7" numFmtId="0" xfId="0" applyAlignment="1" applyBorder="1" applyFont="1">
      <alignment horizontal="center" readingOrder="0" shrinkToFit="0" vertical="center" wrapText="1"/>
    </xf>
    <xf borderId="14" fillId="3" fontId="7" numFmtId="0" xfId="0" applyAlignment="1" applyBorder="1" applyFont="1">
      <alignment horizontal="center" readingOrder="0" shrinkToFit="0" vertical="center" wrapText="1"/>
    </xf>
    <xf borderId="15" fillId="0" fontId="17" numFmtId="0" xfId="0" applyAlignment="1" applyBorder="1" applyFont="1">
      <alignment readingOrder="0" shrinkToFit="0" vertical="top" wrapText="1"/>
    </xf>
    <xf borderId="0" fillId="3" fontId="7" numFmtId="0" xfId="0" applyAlignment="1" applyFont="1">
      <alignment horizontal="center" readingOrder="0" shrinkToFit="0" vertical="center" wrapText="1"/>
    </xf>
    <xf borderId="16" fillId="3" fontId="7" numFmtId="0" xfId="0" applyAlignment="1" applyBorder="1" applyFont="1">
      <alignment horizontal="center" readingOrder="0" shrinkToFit="0" vertical="center" wrapText="1"/>
    </xf>
    <xf borderId="17" fillId="0" fontId="17" numFmtId="0" xfId="0" applyAlignment="1" applyBorder="1" applyFont="1">
      <alignment readingOrder="0" shrinkToFit="0" vertical="top" wrapText="1"/>
    </xf>
    <xf borderId="18" fillId="3" fontId="9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horizontal="center" readingOrder="0" shrinkToFit="0" vertical="center" wrapText="1"/>
    </xf>
    <xf borderId="19" fillId="3" fontId="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readingOrder="0" shrinkToFit="0" vertical="top" wrapText="1"/>
    </xf>
    <xf borderId="20" fillId="0" fontId="8" numFmtId="0" xfId="0" applyAlignment="1" applyBorder="1" applyFont="1">
      <alignment readingOrder="0" shrinkToFit="0" vertical="top" wrapText="1"/>
    </xf>
    <xf borderId="21" fillId="3" fontId="12" numFmtId="4" xfId="0" applyAlignment="1" applyBorder="1" applyFont="1" applyNumberFormat="1">
      <alignment horizontal="center" readingOrder="0" shrinkToFit="0" vertical="center" wrapText="1"/>
    </xf>
    <xf borderId="21" fillId="5" fontId="12" numFmtId="4" xfId="0" applyAlignment="1" applyBorder="1" applyFont="1" applyNumberFormat="1">
      <alignment horizontal="center" readingOrder="0" shrinkToFit="0" vertical="center" wrapText="1"/>
    </xf>
    <xf borderId="21" fillId="3" fontId="9" numFmtId="0" xfId="0" applyAlignment="1" applyBorder="1" applyFont="1">
      <alignment readingOrder="0" shrinkToFit="0" vertical="top" wrapText="1"/>
    </xf>
    <xf borderId="22" fillId="3" fontId="9" numFmtId="0" xfId="0" applyAlignment="1" applyBorder="1" applyFont="1">
      <alignment readingOrder="0" shrinkToFit="0" vertical="top" wrapText="1"/>
    </xf>
    <xf borderId="21" fillId="3" fontId="7" numFmtId="0" xfId="0" applyAlignment="1" applyBorder="1" applyFont="1">
      <alignment readingOrder="0" shrinkToFit="0" vertical="top" wrapText="1"/>
    </xf>
    <xf borderId="22" fillId="3" fontId="7" numFmtId="0" xfId="0" applyAlignment="1" applyBorder="1" applyFont="1">
      <alignment readingOrder="0" shrinkToFit="0" vertical="top" wrapText="1"/>
    </xf>
    <xf borderId="0" fillId="4" fontId="2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4" fontId="7" numFmtId="0" xfId="0" applyAlignment="1" applyFont="1">
      <alignment readingOrder="0" shrinkToFit="0" vertical="top" wrapText="1"/>
    </xf>
    <xf borderId="0" fillId="11" fontId="1" numFmtId="0" xfId="0" applyAlignment="1" applyFill="1" applyFont="1">
      <alignment vertical="top"/>
    </xf>
    <xf borderId="0" fillId="11" fontId="17" numFmtId="0" xfId="0" applyAlignment="1" applyFont="1">
      <alignment readingOrder="0" shrinkToFit="0" vertical="top" wrapText="1"/>
    </xf>
    <xf borderId="0" fillId="6" fontId="7" numFmtId="0" xfId="0" applyAlignment="1" applyFont="1">
      <alignment readingOrder="0" shrinkToFit="0" vertical="top" wrapText="1"/>
    </xf>
    <xf borderId="0" fillId="7" fontId="7" numFmtId="0" xfId="0" applyAlignment="1" applyFont="1">
      <alignment readingOrder="0" shrinkToFit="0" vertical="top" wrapText="1"/>
    </xf>
    <xf borderId="0" fillId="8" fontId="7" numFmtId="0" xfId="0" applyAlignment="1" applyFont="1">
      <alignment readingOrder="0" shrinkToFit="0" vertical="top" wrapText="1"/>
    </xf>
    <xf borderId="7" fillId="0" fontId="1" numFmtId="0" xfId="0" applyAlignment="1" applyBorder="1" applyFont="1">
      <alignment vertical="top"/>
    </xf>
    <xf borderId="7" fillId="0" fontId="17" numFmtId="0" xfId="0" applyAlignment="1" applyBorder="1" applyFont="1">
      <alignment readingOrder="0" shrinkToFit="0" vertical="top" wrapText="1"/>
    </xf>
    <xf borderId="7" fillId="4" fontId="19" numFmtId="0" xfId="0" applyAlignment="1" applyBorder="1" applyFont="1">
      <alignment readingOrder="0" shrinkToFit="0" vertical="top" wrapText="1"/>
    </xf>
    <xf borderId="7" fillId="6" fontId="7" numFmtId="0" xfId="0" applyAlignment="1" applyBorder="1" applyFont="1">
      <alignment readingOrder="0" shrinkToFit="0" vertical="top" wrapText="1"/>
    </xf>
    <xf borderId="7" fillId="7" fontId="9" numFmtId="0" xfId="0" applyAlignment="1" applyBorder="1" applyFont="1">
      <alignment readingOrder="0" shrinkToFit="0" vertical="top" wrapText="1"/>
    </xf>
    <xf borderId="7" fillId="8" fontId="9" numFmtId="0" xfId="0" applyAlignment="1" applyBorder="1" applyFont="1">
      <alignment readingOrder="0" shrinkToFit="0" vertical="top" wrapText="1"/>
    </xf>
    <xf borderId="7" fillId="0" fontId="10" numFmtId="0" xfId="0" applyAlignment="1" applyBorder="1" applyFont="1">
      <alignment horizontal="center" readingOrder="0" shrinkToFit="0" vertical="top" wrapText="1"/>
    </xf>
    <xf borderId="7" fillId="0" fontId="10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vertical="top" wrapText="1"/>
    </xf>
    <xf borderId="7" fillId="4" fontId="7" numFmtId="0" xfId="0" applyAlignment="1" applyBorder="1" applyFont="1">
      <alignment readingOrder="0" shrinkToFit="0" vertical="top" wrapText="1"/>
    </xf>
    <xf borderId="7" fillId="7" fontId="7" numFmtId="0" xfId="0" applyAlignment="1" applyBorder="1" applyFont="1">
      <alignment readingOrder="0" shrinkToFit="0" vertical="top" wrapText="1"/>
    </xf>
    <xf borderId="7" fillId="8" fontId="7" numFmtId="0" xfId="0" applyAlignment="1" applyBorder="1" applyFont="1">
      <alignment readingOrder="0" shrinkToFit="0" vertical="top" wrapText="1"/>
    </xf>
    <xf borderId="7" fillId="0" fontId="7" numFmtId="0" xfId="0" applyAlignment="1" applyBorder="1" applyFont="1">
      <alignment readingOrder="0" shrinkToFit="0" vertical="top" wrapText="1"/>
    </xf>
    <xf borderId="0" fillId="6" fontId="9" numFmtId="0" xfId="0" applyAlignment="1" applyFont="1">
      <alignment readingOrder="0" shrinkToFit="0" vertical="top" wrapText="1"/>
    </xf>
    <xf borderId="0" fillId="8" fontId="9" numFmtId="0" xfId="0" applyAlignment="1" applyFont="1">
      <alignment readingOrder="0" shrinkToFit="0" vertical="top" wrapText="1"/>
    </xf>
    <xf borderId="0" fillId="0" fontId="20" numFmtId="0" xfId="0" applyAlignment="1" applyFont="1">
      <alignment readingOrder="0" vertical="top"/>
    </xf>
    <xf borderId="7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vertical="center"/>
    </xf>
    <xf borderId="0" fillId="7" fontId="9" numFmtId="0" xfId="0" applyAlignment="1" applyFont="1">
      <alignment readingOrder="0" shrinkToFit="0" vertical="top" wrapText="1"/>
    </xf>
    <xf borderId="7" fillId="0" fontId="1" numFmtId="0" xfId="0" applyAlignment="1" applyBorder="1" applyFont="1">
      <alignment readingOrder="0" vertical="top"/>
    </xf>
    <xf borderId="7" fillId="6" fontId="9" numFmtId="0" xfId="0" applyAlignment="1" applyBorder="1" applyFont="1">
      <alignment readingOrder="0" shrinkToFit="0" vertical="top" wrapText="1"/>
    </xf>
    <xf borderId="7" fillId="0" fontId="13" numFmtId="0" xfId="0" applyAlignment="1" applyBorder="1" applyFont="1">
      <alignment readingOrder="0" shrinkToFit="0" vertical="top" wrapText="1"/>
    </xf>
    <xf borderId="7" fillId="0" fontId="10" numFmtId="0" xfId="0" applyAlignment="1" applyBorder="1" applyFont="1">
      <alignment horizontal="center" readingOrder="0" vertical="top"/>
    </xf>
    <xf borderId="7" fillId="0" fontId="10" numFmtId="0" xfId="0" applyAlignment="1" applyBorder="1" applyFont="1">
      <alignment readingOrder="0" vertical="top"/>
    </xf>
    <xf borderId="7" fillId="0" fontId="10" numFmtId="0" xfId="0" applyAlignment="1" applyBorder="1" applyFont="1">
      <alignment shrinkToFit="0" vertical="top" wrapText="1"/>
    </xf>
    <xf borderId="7" fillId="0" fontId="1" numFmtId="0" xfId="0" applyBorder="1" applyFont="1"/>
    <xf borderId="7" fillId="0" fontId="18" numFmtId="0" xfId="0" applyAlignment="1" applyBorder="1" applyFont="1">
      <alignment readingOrder="0" shrinkToFit="0" vertical="top" wrapText="1"/>
    </xf>
    <xf borderId="0" fillId="4" fontId="1" numFmtId="0" xfId="0" applyAlignment="1" applyFont="1">
      <alignment vertical="top"/>
    </xf>
    <xf borderId="7" fillId="0" fontId="17" numFmtId="0" xfId="0" applyAlignment="1" applyBorder="1" applyFont="1">
      <alignment readingOrder="0" shrinkToFit="0" vertical="top" wrapText="1"/>
    </xf>
    <xf borderId="7" fillId="4" fontId="1" numFmtId="0" xfId="0" applyAlignment="1" applyBorder="1" applyFont="1">
      <alignment vertical="top"/>
    </xf>
    <xf borderId="10" fillId="0" fontId="10" numFmtId="0" xfId="0" applyAlignment="1" applyBorder="1" applyFont="1">
      <alignment horizontal="center" readingOrder="0" shrinkToFit="0" vertical="top" wrapText="1"/>
    </xf>
    <xf borderId="10" fillId="0" fontId="10" numFmtId="0" xfId="0" applyAlignment="1" applyBorder="1" applyFont="1">
      <alignment readingOrder="0" shrinkToFit="0" vertical="top" wrapText="1"/>
    </xf>
    <xf borderId="7" fillId="4" fontId="2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nifestowriting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6.13"/>
    <col customWidth="1" min="3" max="3" width="8.75"/>
    <col customWidth="1" min="4" max="4" width="34.13"/>
    <col customWidth="1" min="5" max="5" width="11.0"/>
    <col customWidth="1" min="6" max="6" width="11.88"/>
    <col customWidth="1" min="7" max="7" width="10.5"/>
    <col customWidth="1" min="8" max="8" width="12.0"/>
    <col customWidth="1" min="9" max="9" width="12.38"/>
  </cols>
  <sheetData>
    <row r="1">
      <c r="C1" s="1"/>
      <c r="D1" s="1"/>
      <c r="E1" s="2" t="s">
        <v>0</v>
      </c>
      <c r="F1" s="2" t="s">
        <v>1</v>
      </c>
      <c r="G1" s="2" t="s">
        <v>2</v>
      </c>
      <c r="H1" s="3" t="s">
        <v>3</v>
      </c>
      <c r="I1" s="3" t="s">
        <v>4</v>
      </c>
    </row>
    <row r="2" ht="27.0" customHeight="1">
      <c r="A2" s="4"/>
      <c r="B2" s="5" t="s">
        <v>5</v>
      </c>
      <c r="C2" s="5"/>
      <c r="D2" s="5"/>
      <c r="E2" s="6">
        <f>(($C$7*E7)+($C$13*E13)+($C$19*E19)+($C$20*E20)+($C$21*E21)+($C$22*E22)+($C$23*E23)+($C$24*E24)+($C$27*E27))/($C$7+$C$13+$C$19+$C$20+$C$21+$C$22+$C$24+$C$27)</f>
        <v>2.126470588</v>
      </c>
      <c r="F2" s="6">
        <f>(($C$7*F7)+($C$13*F13)+($C$19*F19)+($C$20*F20)+($C$21*F21)+($C$22*F22)+($C$23*F23)+($C$24*F24)+($C$27*F27))/($C$7+$C$13+$C$19+$C$22+$C$24+$C$27)</f>
        <v>1.674175824</v>
      </c>
      <c r="G2" s="6">
        <f>(($C$7*G7)+($C$13*G13)+($C$19*G19)+($C$20*G20)+($C$21*G21)+($C$22*G22)+($C$23*G23)+($C$24*G24)+($C$27*G27))/($C$7+$C$13+$C$19+$C$20+$C$24+$C$27)</f>
        <v>1.221428571</v>
      </c>
      <c r="H2" s="6">
        <f t="shared" ref="H2:I2" si="1">(($C$7*H7)+($C$13*H13)+($C$19*H19)+($C$20*H20)+($C$21*H21)+($C$22*H22)+($C$23*H23)+($C$24*H24)+($C$27*H27))/($C$7+$C$13+$C$19+$C$20+$C$21+$C$22+$C$23+$C$24+$C$27)</f>
        <v>0.4065991903</v>
      </c>
      <c r="I2" s="6">
        <f t="shared" si="1"/>
        <v>0.3289473684</v>
      </c>
    </row>
    <row r="3">
      <c r="A3" s="7">
        <v>1.0</v>
      </c>
      <c r="B3" s="8" t="s">
        <v>6</v>
      </c>
      <c r="E3" s="9"/>
      <c r="F3" s="9"/>
      <c r="G3" s="9"/>
      <c r="H3" s="9"/>
      <c r="I3" s="9"/>
    </row>
    <row r="4">
      <c r="A4" s="10"/>
      <c r="B4" s="10"/>
      <c r="C4" s="11"/>
      <c r="D4" s="11" t="s">
        <v>7</v>
      </c>
      <c r="E4" s="9"/>
      <c r="F4" s="9"/>
      <c r="G4" s="9"/>
      <c r="H4" s="9"/>
      <c r="I4" s="9"/>
    </row>
    <row r="5">
      <c r="A5" s="10"/>
      <c r="B5" s="10"/>
      <c r="C5" s="12"/>
      <c r="D5" s="12" t="s">
        <v>8</v>
      </c>
      <c r="E5" s="9"/>
      <c r="F5" s="13"/>
      <c r="G5" s="13"/>
      <c r="H5" s="13"/>
      <c r="I5" s="13"/>
    </row>
    <row r="6">
      <c r="A6" s="7">
        <v>2.0</v>
      </c>
      <c r="B6" s="8" t="s">
        <v>9</v>
      </c>
      <c r="C6" s="11"/>
      <c r="D6" s="11"/>
      <c r="E6" s="9"/>
      <c r="F6" s="9"/>
      <c r="G6" s="9"/>
      <c r="H6" s="9"/>
      <c r="I6" s="9"/>
    </row>
    <row r="7" ht="40.5" customHeight="1">
      <c r="A7" s="14">
        <v>3.0</v>
      </c>
      <c r="B7" s="15" t="s">
        <v>10</v>
      </c>
      <c r="C7" s="16">
        <v>3.0</v>
      </c>
      <c r="D7" s="11"/>
      <c r="E7" s="17">
        <f t="shared" ref="E7:I7" si="2">SUMPRODUCT(E8:E12,$C$8:$C$12)/SUM($C$8:$C$12)</f>
        <v>2.05</v>
      </c>
      <c r="F7" s="17">
        <f t="shared" si="2"/>
        <v>1.55</v>
      </c>
      <c r="G7" s="17">
        <f t="shared" si="2"/>
        <v>1.45</v>
      </c>
      <c r="H7" s="17">
        <f t="shared" si="2"/>
        <v>0.27</v>
      </c>
      <c r="I7" s="17">
        <f t="shared" si="2"/>
        <v>0.25</v>
      </c>
    </row>
    <row r="8">
      <c r="A8" s="18"/>
      <c r="B8" s="18"/>
      <c r="C8" s="19">
        <v>3.0</v>
      </c>
      <c r="D8" s="20" t="s">
        <v>11</v>
      </c>
      <c r="E8" s="21">
        <v>2.0</v>
      </c>
      <c r="F8" s="21">
        <v>1.5</v>
      </c>
      <c r="G8" s="21">
        <v>1.0</v>
      </c>
      <c r="H8" s="22"/>
      <c r="I8" s="23"/>
    </row>
    <row r="9">
      <c r="A9" s="18"/>
      <c r="B9" s="18"/>
      <c r="C9" s="19">
        <v>3.0</v>
      </c>
      <c r="D9" s="24" t="s">
        <v>12</v>
      </c>
      <c r="E9" s="25">
        <v>2.0</v>
      </c>
      <c r="F9" s="25">
        <v>1.5</v>
      </c>
      <c r="G9" s="25">
        <v>1.5</v>
      </c>
      <c r="H9" s="25">
        <v>0.5</v>
      </c>
      <c r="I9" s="26">
        <v>0.5</v>
      </c>
    </row>
    <row r="10">
      <c r="A10" s="18"/>
      <c r="B10" s="18"/>
      <c r="C10" s="27">
        <v>2.0</v>
      </c>
      <c r="D10" s="28" t="s">
        <v>13</v>
      </c>
      <c r="E10" s="25">
        <v>2.5</v>
      </c>
      <c r="F10" s="25">
        <v>2.0</v>
      </c>
      <c r="G10" s="25">
        <v>2.0</v>
      </c>
      <c r="H10" s="29"/>
      <c r="I10" s="30"/>
    </row>
    <row r="11">
      <c r="A11" s="18"/>
      <c r="B11" s="18"/>
      <c r="C11" s="27">
        <v>1.0</v>
      </c>
      <c r="D11" s="28" t="s">
        <v>14</v>
      </c>
      <c r="E11" s="25">
        <v>1.0</v>
      </c>
      <c r="F11" s="25">
        <v>1.0</v>
      </c>
      <c r="G11" s="25">
        <v>1.0</v>
      </c>
      <c r="H11" s="29"/>
      <c r="I11" s="30"/>
    </row>
    <row r="12">
      <c r="A12" s="18"/>
      <c r="B12" s="18"/>
      <c r="C12" s="19">
        <v>1.0</v>
      </c>
      <c r="D12" s="31" t="s">
        <v>15</v>
      </c>
      <c r="E12" s="32">
        <v>2.5</v>
      </c>
      <c r="F12" s="32">
        <v>1.5</v>
      </c>
      <c r="G12" s="32">
        <v>2.0</v>
      </c>
      <c r="H12" s="32">
        <v>1.2</v>
      </c>
      <c r="I12" s="33">
        <v>1.0</v>
      </c>
    </row>
    <row r="13" ht="36.75" customHeight="1">
      <c r="A13" s="34">
        <v>4.0</v>
      </c>
      <c r="B13" s="35" t="s">
        <v>16</v>
      </c>
      <c r="C13" s="16">
        <v>3.0</v>
      </c>
      <c r="D13" s="11"/>
      <c r="E13" s="17">
        <f t="shared" ref="E13:I13" si="3">SUMPRODUCT(E14:E18,$C$14:$C$18)/SUM($C$14:$C$18)</f>
        <v>3</v>
      </c>
      <c r="F13" s="17">
        <f t="shared" si="3"/>
        <v>2.346153846</v>
      </c>
      <c r="G13" s="17">
        <f t="shared" si="3"/>
        <v>1</v>
      </c>
      <c r="H13" s="17">
        <f t="shared" si="3"/>
        <v>0.6384615385</v>
      </c>
      <c r="I13" s="17">
        <f t="shared" si="3"/>
        <v>0.3</v>
      </c>
    </row>
    <row r="14">
      <c r="A14" s="36"/>
      <c r="B14" s="36"/>
      <c r="C14" s="19">
        <v>2.0</v>
      </c>
      <c r="D14" s="20" t="s">
        <v>17</v>
      </c>
      <c r="E14" s="21">
        <v>3.0</v>
      </c>
      <c r="F14" s="21">
        <v>3.0</v>
      </c>
      <c r="G14" s="21">
        <v>1.0</v>
      </c>
      <c r="H14" s="21">
        <v>1.5</v>
      </c>
      <c r="I14" s="37" t="s">
        <v>18</v>
      </c>
    </row>
    <row r="15" ht="36.75" customHeight="1">
      <c r="A15" s="36"/>
      <c r="B15" s="36"/>
      <c r="C15" s="27">
        <v>2.0</v>
      </c>
      <c r="D15" s="28" t="s">
        <v>19</v>
      </c>
      <c r="E15" s="25">
        <v>3.0</v>
      </c>
      <c r="F15" s="25">
        <v>2.5</v>
      </c>
      <c r="G15" s="38">
        <v>1.0</v>
      </c>
      <c r="H15" s="25">
        <v>1.0</v>
      </c>
      <c r="I15" s="30"/>
    </row>
    <row r="16">
      <c r="A16" s="36"/>
      <c r="B16" s="36"/>
      <c r="C16" s="19">
        <v>3.0</v>
      </c>
      <c r="D16" s="24" t="s">
        <v>20</v>
      </c>
      <c r="E16" s="25">
        <v>3.0</v>
      </c>
      <c r="F16" s="25">
        <v>3.0</v>
      </c>
      <c r="G16" s="38">
        <v>1.0</v>
      </c>
      <c r="H16" s="25">
        <v>1.1</v>
      </c>
      <c r="I16" s="26">
        <v>1.3</v>
      </c>
    </row>
    <row r="17">
      <c r="A17" s="36"/>
      <c r="B17" s="36"/>
      <c r="C17" s="19">
        <v>3.0</v>
      </c>
      <c r="D17" s="24" t="s">
        <v>21</v>
      </c>
      <c r="E17" s="25">
        <v>3.0</v>
      </c>
      <c r="F17" s="25">
        <v>1.0</v>
      </c>
      <c r="G17" s="38">
        <v>1.0</v>
      </c>
      <c r="H17" s="29"/>
      <c r="I17" s="30"/>
    </row>
    <row r="18">
      <c r="A18" s="39"/>
      <c r="B18" s="39"/>
      <c r="C18" s="27">
        <v>3.0</v>
      </c>
      <c r="D18" s="40" t="s">
        <v>22</v>
      </c>
      <c r="E18" s="32">
        <v>3.0</v>
      </c>
      <c r="F18" s="41">
        <v>2.5</v>
      </c>
      <c r="G18" s="41">
        <v>1.0</v>
      </c>
      <c r="H18" s="42"/>
      <c r="I18" s="43"/>
    </row>
    <row r="19">
      <c r="A19" s="14">
        <v>5.0</v>
      </c>
      <c r="B19" s="15" t="s">
        <v>23</v>
      </c>
      <c r="C19" s="16">
        <v>2.0</v>
      </c>
      <c r="D19" s="44"/>
      <c r="E19" s="45">
        <v>3.0</v>
      </c>
      <c r="F19" s="45">
        <v>2.0</v>
      </c>
      <c r="G19" s="45">
        <v>1.0</v>
      </c>
      <c r="H19" s="45">
        <v>1.0</v>
      </c>
      <c r="I19" s="46">
        <v>0.8</v>
      </c>
    </row>
    <row r="20" ht="32.25" customHeight="1">
      <c r="A20" s="34">
        <v>6.0</v>
      </c>
      <c r="B20" s="35" t="s">
        <v>24</v>
      </c>
      <c r="C20" s="16">
        <v>2.0</v>
      </c>
      <c r="D20" s="44"/>
      <c r="E20" s="45">
        <v>1.5</v>
      </c>
      <c r="F20" s="47">
        <v>0.0</v>
      </c>
      <c r="G20" s="45">
        <v>1.5</v>
      </c>
      <c r="H20" s="48"/>
      <c r="I20" s="49"/>
    </row>
    <row r="21" ht="32.25" customHeight="1">
      <c r="A21" s="34">
        <v>7.0</v>
      </c>
      <c r="B21" s="15" t="s">
        <v>25</v>
      </c>
      <c r="C21" s="16">
        <v>1.0</v>
      </c>
      <c r="D21" s="44"/>
      <c r="E21" s="50">
        <v>2.0</v>
      </c>
      <c r="F21" s="47">
        <v>0.0</v>
      </c>
      <c r="G21" s="47">
        <v>0.0</v>
      </c>
      <c r="H21" s="51"/>
      <c r="I21" s="49"/>
    </row>
    <row r="22" ht="32.25" customHeight="1">
      <c r="A22" s="14">
        <v>8.0</v>
      </c>
      <c r="B22" s="52" t="s">
        <v>26</v>
      </c>
      <c r="C22" s="16">
        <v>2.0</v>
      </c>
      <c r="D22" s="53"/>
      <c r="E22" s="45">
        <v>1.5</v>
      </c>
      <c r="F22" s="45">
        <v>1.5</v>
      </c>
      <c r="G22" s="47">
        <v>0.0</v>
      </c>
      <c r="H22" s="48"/>
      <c r="I22" s="49"/>
    </row>
    <row r="23" ht="34.5" customHeight="1">
      <c r="A23" s="14">
        <v>9.0</v>
      </c>
      <c r="B23" s="52" t="s">
        <v>27</v>
      </c>
      <c r="C23" s="16">
        <v>2.0</v>
      </c>
      <c r="D23" s="53"/>
      <c r="E23" s="47">
        <v>0.0</v>
      </c>
      <c r="F23" s="47">
        <v>0.0</v>
      </c>
      <c r="G23" s="47">
        <v>0.0</v>
      </c>
      <c r="H23" s="48"/>
      <c r="I23" s="49"/>
    </row>
    <row r="24">
      <c r="A24" s="14">
        <v>10.0</v>
      </c>
      <c r="B24" s="15" t="s">
        <v>28</v>
      </c>
      <c r="C24" s="16">
        <v>3.0</v>
      </c>
      <c r="D24" s="54"/>
      <c r="E24" s="17">
        <f t="shared" ref="E24:I24" si="4">AVERAGE(E25:E26)</f>
        <v>2</v>
      </c>
      <c r="F24" s="17">
        <f t="shared" si="4"/>
        <v>1.25</v>
      </c>
      <c r="G24" s="17">
        <f t="shared" si="4"/>
        <v>1.25</v>
      </c>
      <c r="H24" s="17">
        <f t="shared" si="4"/>
        <v>1</v>
      </c>
      <c r="I24" s="17">
        <f t="shared" si="4"/>
        <v>1</v>
      </c>
    </row>
    <row r="25" ht="27.0" customHeight="1">
      <c r="C25" s="19"/>
      <c r="D25" s="20" t="s">
        <v>29</v>
      </c>
      <c r="E25" s="55">
        <v>2.5</v>
      </c>
      <c r="F25" s="55">
        <v>1.0</v>
      </c>
      <c r="G25" s="55">
        <v>1.0</v>
      </c>
      <c r="H25" s="55">
        <v>1.0</v>
      </c>
      <c r="I25" s="56"/>
    </row>
    <row r="26" ht="29.25" customHeight="1">
      <c r="C26" s="27"/>
      <c r="D26" s="40" t="s">
        <v>30</v>
      </c>
      <c r="E26" s="57">
        <v>1.5</v>
      </c>
      <c r="F26" s="57">
        <v>1.5</v>
      </c>
      <c r="G26" s="57">
        <v>1.5</v>
      </c>
      <c r="H26" s="58"/>
      <c r="I26" s="59">
        <v>1.0</v>
      </c>
    </row>
    <row r="27" ht="50.25" customHeight="1">
      <c r="A27" s="14">
        <v>11.0</v>
      </c>
      <c r="B27" s="15" t="s">
        <v>31</v>
      </c>
      <c r="C27" s="16">
        <v>1.0</v>
      </c>
      <c r="D27" s="19"/>
      <c r="E27" s="17">
        <f t="shared" ref="E27:G27" si="5">AVERAGE(E28:E29)</f>
        <v>1</v>
      </c>
      <c r="F27" s="17">
        <f t="shared" si="5"/>
        <v>1</v>
      </c>
      <c r="G27" s="17">
        <f t="shared" si="5"/>
        <v>1</v>
      </c>
      <c r="H27" s="60"/>
      <c r="I27" s="60"/>
    </row>
    <row r="28">
      <c r="A28" s="39"/>
      <c r="B28" s="39"/>
      <c r="C28" s="54"/>
      <c r="D28" s="20" t="s">
        <v>32</v>
      </c>
      <c r="E28" s="55">
        <v>1.0</v>
      </c>
      <c r="F28" s="55">
        <v>1.0</v>
      </c>
      <c r="G28" s="55">
        <v>1.0</v>
      </c>
      <c r="H28" s="61"/>
      <c r="I28" s="56"/>
    </row>
    <row r="29">
      <c r="A29" s="39"/>
      <c r="B29" s="39"/>
      <c r="C29" s="54"/>
      <c r="D29" s="31" t="s">
        <v>33</v>
      </c>
      <c r="E29" s="57">
        <v>1.0</v>
      </c>
      <c r="F29" s="57">
        <v>1.0</v>
      </c>
      <c r="G29" s="57">
        <v>1.0</v>
      </c>
      <c r="H29" s="58"/>
      <c r="I29" s="62"/>
    </row>
    <row r="30" ht="61.5" customHeight="1">
      <c r="A30" s="7">
        <v>12.0</v>
      </c>
      <c r="B30" s="8" t="s">
        <v>34</v>
      </c>
      <c r="C30" s="18"/>
      <c r="D30" s="18"/>
      <c r="E30" s="9"/>
      <c r="F30" s="9"/>
      <c r="G30" s="9"/>
      <c r="H30" s="9"/>
      <c r="I30" s="9"/>
    </row>
    <row r="31">
      <c r="A31" s="39"/>
      <c r="B31" s="39"/>
      <c r="C31" s="18"/>
      <c r="D31" s="18"/>
      <c r="E31" s="9"/>
      <c r="F31" s="9"/>
      <c r="G31" s="9"/>
    </row>
    <row r="32" ht="26.25" customHeight="1">
      <c r="A32" s="4"/>
      <c r="B32" s="5" t="s">
        <v>35</v>
      </c>
      <c r="C32" s="5"/>
      <c r="D32" s="5"/>
      <c r="E32" s="6">
        <f t="shared" ref="E32:F32" si="6">(($C$33*E33)+($C$39*E39)+($C$40*E40)+($C$41*E41)+($C$42*E42)+($C$43*E43)+($C$44*E44))/($C$33+$C$39+$C$40+$C$41+$C$42+$C$43+$C$44)</f>
        <v>1.794736842</v>
      </c>
      <c r="F32" s="6">
        <f t="shared" si="6"/>
        <v>1.647368421</v>
      </c>
      <c r="G32" s="6">
        <f>(($C$33*G33)+($C$39*G39)+($C$40*G40)+($C$41*G41)+($C$42*G42)+($C$43*G43)+($C$44*G44))/($C$33+$C$41+$C$43+$C$44)</f>
        <v>1.163636364</v>
      </c>
      <c r="H32" s="6">
        <f t="shared" ref="H32:I32" si="7">(($C$33*H33)+($C$39*H39)+($C$40*H40)+($C$41*H41)+($C$42*H42)+($C$43*H43)+($C$44*H44))/($C$33+$C$39+$C$40+$C$41+$C$42+$C$43+$C$44)</f>
        <v>0</v>
      </c>
      <c r="I32" s="6">
        <f t="shared" si="7"/>
        <v>0</v>
      </c>
    </row>
    <row r="33">
      <c r="A33" s="34">
        <v>13.0</v>
      </c>
      <c r="B33" s="15" t="s">
        <v>36</v>
      </c>
      <c r="C33" s="16">
        <v>3.0</v>
      </c>
      <c r="D33" s="63"/>
      <c r="E33" s="17">
        <f t="shared" ref="E33:G33" si="8">AVERAGE(E34:E38)</f>
        <v>1.7</v>
      </c>
      <c r="F33" s="17">
        <f t="shared" si="8"/>
        <v>1.6</v>
      </c>
      <c r="G33" s="17">
        <f t="shared" si="8"/>
        <v>1.1</v>
      </c>
      <c r="H33" s="17"/>
      <c r="I33" s="17"/>
    </row>
    <row r="34">
      <c r="A34" s="34"/>
      <c r="B34" s="54"/>
      <c r="C34" s="64"/>
      <c r="D34" s="65" t="s">
        <v>37</v>
      </c>
      <c r="E34" s="66">
        <v>3.0</v>
      </c>
      <c r="F34" s="66">
        <v>2.0</v>
      </c>
      <c r="G34" s="66">
        <v>1.0</v>
      </c>
      <c r="H34" s="66"/>
      <c r="I34" s="67"/>
    </row>
    <row r="35">
      <c r="A35" s="34"/>
      <c r="B35" s="54"/>
      <c r="C35" s="64"/>
      <c r="D35" s="68" t="s">
        <v>38</v>
      </c>
      <c r="E35" s="69">
        <v>1.5</v>
      </c>
      <c r="F35" s="69">
        <v>2.0</v>
      </c>
      <c r="G35" s="69">
        <v>1.0</v>
      </c>
      <c r="H35" s="69"/>
      <c r="I35" s="70"/>
    </row>
    <row r="36">
      <c r="A36" s="34"/>
      <c r="B36" s="54"/>
      <c r="C36" s="64"/>
      <c r="D36" s="68" t="s">
        <v>39</v>
      </c>
      <c r="E36" s="69">
        <v>1.5</v>
      </c>
      <c r="F36" s="69">
        <v>1.5</v>
      </c>
      <c r="G36" s="69">
        <v>1.0</v>
      </c>
      <c r="H36" s="69"/>
      <c r="I36" s="70"/>
    </row>
    <row r="37">
      <c r="A37" s="34"/>
      <c r="B37" s="54"/>
      <c r="C37" s="64"/>
      <c r="D37" s="68" t="s">
        <v>40</v>
      </c>
      <c r="E37" s="69">
        <v>1.0</v>
      </c>
      <c r="F37" s="69">
        <v>1.0</v>
      </c>
      <c r="G37" s="69">
        <v>1.5</v>
      </c>
      <c r="H37" s="69"/>
      <c r="I37" s="70"/>
    </row>
    <row r="38">
      <c r="A38" s="34"/>
      <c r="B38" s="54"/>
      <c r="C38" s="64"/>
      <c r="D38" s="71" t="s">
        <v>41</v>
      </c>
      <c r="E38" s="72">
        <v>1.5</v>
      </c>
      <c r="F38" s="72">
        <v>1.5</v>
      </c>
      <c r="G38" s="73">
        <v>1.0</v>
      </c>
      <c r="H38" s="73"/>
      <c r="I38" s="74"/>
    </row>
    <row r="39">
      <c r="A39" s="14">
        <v>14.0</v>
      </c>
      <c r="B39" s="75" t="s">
        <v>42</v>
      </c>
      <c r="C39" s="16">
        <v>3.0</v>
      </c>
      <c r="D39" s="76"/>
      <c r="E39" s="77">
        <v>2.0</v>
      </c>
      <c r="F39" s="77">
        <v>1.0</v>
      </c>
      <c r="G39" s="78">
        <v>0.0</v>
      </c>
      <c r="H39" s="79"/>
      <c r="I39" s="80"/>
    </row>
    <row r="40">
      <c r="A40" s="14">
        <v>15.0</v>
      </c>
      <c r="B40" s="15" t="s">
        <v>43</v>
      </c>
      <c r="C40" s="16">
        <v>3.0</v>
      </c>
      <c r="D40" s="76"/>
      <c r="E40" s="77">
        <v>2.5</v>
      </c>
      <c r="F40" s="77">
        <v>2.0</v>
      </c>
      <c r="G40" s="78">
        <v>0.0</v>
      </c>
      <c r="H40" s="81"/>
      <c r="I40" s="82"/>
    </row>
    <row r="41" ht="39.75" customHeight="1">
      <c r="A41" s="14">
        <v>16.0</v>
      </c>
      <c r="B41" s="15" t="s">
        <v>44</v>
      </c>
      <c r="C41" s="16">
        <v>2.0</v>
      </c>
      <c r="D41" s="76"/>
      <c r="E41" s="77">
        <v>1.0</v>
      </c>
      <c r="F41" s="77">
        <v>1.5</v>
      </c>
      <c r="G41" s="77">
        <v>1.0</v>
      </c>
      <c r="H41" s="81"/>
      <c r="I41" s="82"/>
    </row>
    <row r="42" ht="42.0" customHeight="1">
      <c r="A42" s="14">
        <v>17.0</v>
      </c>
      <c r="B42" s="15" t="s">
        <v>45</v>
      </c>
      <c r="C42" s="16">
        <v>2.0</v>
      </c>
      <c r="D42" s="76"/>
      <c r="E42" s="77">
        <v>1.5</v>
      </c>
      <c r="F42" s="77">
        <v>2.0</v>
      </c>
      <c r="G42" s="78">
        <v>0.0</v>
      </c>
      <c r="H42" s="77"/>
      <c r="I42" s="82"/>
    </row>
    <row r="43">
      <c r="A43" s="14">
        <v>18.0</v>
      </c>
      <c r="B43" s="15" t="s">
        <v>46</v>
      </c>
      <c r="C43" s="16">
        <v>3.0</v>
      </c>
      <c r="D43" s="76"/>
      <c r="E43" s="77">
        <v>1.5</v>
      </c>
      <c r="F43" s="77">
        <v>2.0</v>
      </c>
      <c r="G43" s="77">
        <v>1.0</v>
      </c>
      <c r="H43" s="81"/>
      <c r="I43" s="82"/>
    </row>
    <row r="44" ht="40.5" customHeight="1">
      <c r="A44" s="14">
        <v>19.0</v>
      </c>
      <c r="B44" s="15" t="s">
        <v>47</v>
      </c>
      <c r="C44" s="16">
        <v>3.0</v>
      </c>
      <c r="D44" s="76"/>
      <c r="E44" s="77">
        <v>2.0</v>
      </c>
      <c r="F44" s="77">
        <v>1.5</v>
      </c>
      <c r="G44" s="77">
        <v>1.5</v>
      </c>
      <c r="H44" s="81"/>
      <c r="I44" s="82"/>
    </row>
    <row r="46" ht="25.5" customHeight="1">
      <c r="A46" s="4"/>
      <c r="B46" s="5" t="s">
        <v>48</v>
      </c>
      <c r="C46" s="5"/>
      <c r="D46" s="5"/>
      <c r="E46" s="6">
        <f t="shared" ref="E46:I46" si="9">(E2*0.7)+(E32*0.3)</f>
        <v>2.026950464</v>
      </c>
      <c r="F46" s="6">
        <f t="shared" si="9"/>
        <v>1.666133603</v>
      </c>
      <c r="G46" s="6">
        <f t="shared" si="9"/>
        <v>1.204090909</v>
      </c>
      <c r="H46" s="6">
        <f t="shared" si="9"/>
        <v>0.2846194332</v>
      </c>
      <c r="I46" s="6">
        <f t="shared" si="9"/>
        <v>0.2302631579</v>
      </c>
    </row>
  </sheetData>
  <mergeCells count="1">
    <mergeCell ref="B3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6.13"/>
    <col customWidth="1" min="3" max="3" width="34.13"/>
    <col customWidth="1" hidden="1" min="4" max="4" width="10.0"/>
    <col customWidth="1" min="5" max="5" width="28.0"/>
    <col customWidth="1" min="6" max="6" width="36.0"/>
    <col customWidth="1" min="7" max="7" width="39.13"/>
    <col customWidth="1" hidden="1" min="8" max="8" width="16.25"/>
    <col customWidth="1" hidden="1" min="9" max="9" width="14.63"/>
    <col customWidth="1" min="10" max="10" width="42.38"/>
  </cols>
  <sheetData>
    <row r="1">
      <c r="C1" s="1"/>
      <c r="D1" s="83" t="s">
        <v>49</v>
      </c>
      <c r="E1" s="84" t="s">
        <v>50</v>
      </c>
      <c r="F1" s="85" t="s">
        <v>51</v>
      </c>
      <c r="G1" s="86" t="s">
        <v>52</v>
      </c>
      <c r="H1" s="87" t="s">
        <v>53</v>
      </c>
      <c r="I1" s="88" t="s">
        <v>54</v>
      </c>
    </row>
    <row r="2" ht="27.0" customHeight="1">
      <c r="A2" s="4"/>
      <c r="B2" s="5" t="s">
        <v>5</v>
      </c>
      <c r="J2" s="89"/>
    </row>
    <row r="3">
      <c r="A3" s="14">
        <v>1.0</v>
      </c>
      <c r="B3" s="75" t="s">
        <v>55</v>
      </c>
      <c r="D3" s="90"/>
      <c r="E3" s="9"/>
      <c r="F3" s="9"/>
      <c r="G3" s="9"/>
      <c r="H3" s="9"/>
      <c r="I3" s="9"/>
    </row>
    <row r="4" ht="205.5" customHeight="1">
      <c r="A4" s="18"/>
      <c r="B4" s="91"/>
      <c r="C4" s="92" t="s">
        <v>56</v>
      </c>
      <c r="D4" s="90"/>
      <c r="E4" s="93" t="s">
        <v>57</v>
      </c>
      <c r="F4" s="94" t="s">
        <v>58</v>
      </c>
      <c r="G4" s="95" t="s">
        <v>59</v>
      </c>
      <c r="H4" s="9"/>
      <c r="I4" s="9"/>
    </row>
    <row r="5">
      <c r="A5" s="96"/>
      <c r="B5" s="96"/>
      <c r="C5" s="97" t="s">
        <v>60</v>
      </c>
      <c r="D5" s="98"/>
      <c r="E5" s="99" t="s">
        <v>57</v>
      </c>
      <c r="F5" s="100" t="s">
        <v>61</v>
      </c>
      <c r="G5" s="101" t="s">
        <v>62</v>
      </c>
      <c r="H5" s="9"/>
      <c r="I5" s="9"/>
    </row>
    <row r="6">
      <c r="A6" s="102">
        <v>2.0</v>
      </c>
      <c r="B6" s="103" t="s">
        <v>9</v>
      </c>
      <c r="C6" s="104" t="s">
        <v>63</v>
      </c>
      <c r="D6" s="105"/>
      <c r="E6" s="99" t="s">
        <v>64</v>
      </c>
      <c r="F6" s="106" t="s">
        <v>65</v>
      </c>
      <c r="G6" s="107" t="s">
        <v>66</v>
      </c>
      <c r="H6" s="108"/>
      <c r="I6" s="108"/>
    </row>
    <row r="7" ht="40.5" customHeight="1">
      <c r="A7" s="14">
        <v>3.0</v>
      </c>
      <c r="B7" s="15" t="s">
        <v>10</v>
      </c>
      <c r="C7" s="11" t="s">
        <v>67</v>
      </c>
      <c r="D7" s="90"/>
      <c r="E7" s="9"/>
      <c r="F7" s="9"/>
      <c r="G7" s="9"/>
      <c r="H7" s="9"/>
      <c r="I7" s="9"/>
    </row>
    <row r="8">
      <c r="A8" s="18"/>
      <c r="B8" s="18"/>
      <c r="C8" s="54" t="s">
        <v>11</v>
      </c>
      <c r="D8" s="90"/>
      <c r="E8" s="109" t="s">
        <v>68</v>
      </c>
      <c r="F8" s="94" t="s">
        <v>69</v>
      </c>
      <c r="G8" s="110" t="s">
        <v>70</v>
      </c>
      <c r="H8" s="9"/>
      <c r="I8" s="9"/>
    </row>
    <row r="9">
      <c r="A9" s="18"/>
      <c r="B9" s="18"/>
      <c r="C9" s="54" t="s">
        <v>12</v>
      </c>
      <c r="D9" s="90"/>
      <c r="E9" s="93" t="s">
        <v>71</v>
      </c>
      <c r="F9" s="94" t="s">
        <v>72</v>
      </c>
      <c r="G9" s="95" t="s">
        <v>73</v>
      </c>
      <c r="H9" s="9"/>
      <c r="I9" s="9"/>
    </row>
    <row r="10">
      <c r="A10" s="18"/>
      <c r="B10" s="18"/>
      <c r="C10" s="39" t="s">
        <v>13</v>
      </c>
      <c r="D10" s="90"/>
      <c r="E10" s="93" t="s">
        <v>74</v>
      </c>
      <c r="F10" s="94" t="s">
        <v>75</v>
      </c>
      <c r="G10" s="95" t="s">
        <v>76</v>
      </c>
      <c r="H10" s="9"/>
      <c r="I10" s="9"/>
    </row>
    <row r="11">
      <c r="A11" s="18"/>
      <c r="B11" s="18"/>
      <c r="C11" s="39" t="s">
        <v>14</v>
      </c>
      <c r="D11" s="90"/>
      <c r="E11" s="93" t="s">
        <v>77</v>
      </c>
      <c r="F11" s="94" t="s">
        <v>78</v>
      </c>
      <c r="G11" s="95" t="s">
        <v>79</v>
      </c>
      <c r="H11" s="9"/>
      <c r="I11" s="9"/>
      <c r="J11" s="111" t="s">
        <v>80</v>
      </c>
    </row>
    <row r="12" ht="154.5" customHeight="1">
      <c r="A12" s="96"/>
      <c r="B12" s="96"/>
      <c r="C12" s="112" t="s">
        <v>15</v>
      </c>
      <c r="D12" s="105"/>
      <c r="E12" s="99" t="s">
        <v>81</v>
      </c>
      <c r="F12" s="106" t="s">
        <v>82</v>
      </c>
      <c r="G12" s="107" t="s">
        <v>83</v>
      </c>
      <c r="H12" s="9"/>
      <c r="I12" s="9"/>
      <c r="J12" s="113"/>
    </row>
    <row r="13" ht="41.25" customHeight="1">
      <c r="A13" s="34">
        <v>4.0</v>
      </c>
      <c r="B13" s="35" t="s">
        <v>16</v>
      </c>
      <c r="C13" s="11" t="s">
        <v>84</v>
      </c>
      <c r="D13" s="90"/>
      <c r="E13" s="9"/>
      <c r="F13" s="9"/>
      <c r="G13" s="9"/>
      <c r="H13" s="9"/>
      <c r="I13" s="9"/>
    </row>
    <row r="14">
      <c r="A14" s="36"/>
      <c r="B14" s="36"/>
      <c r="C14" s="54" t="s">
        <v>17</v>
      </c>
      <c r="D14" s="90"/>
      <c r="E14" s="109" t="s">
        <v>85</v>
      </c>
      <c r="F14" s="114" t="s">
        <v>86</v>
      </c>
      <c r="G14" s="95" t="s">
        <v>87</v>
      </c>
      <c r="H14" s="9"/>
      <c r="I14" s="9"/>
    </row>
    <row r="15">
      <c r="A15" s="36"/>
      <c r="B15" s="36"/>
      <c r="C15" s="39" t="s">
        <v>19</v>
      </c>
      <c r="D15" s="90"/>
      <c r="E15" s="93" t="s">
        <v>88</v>
      </c>
      <c r="F15" s="94" t="s">
        <v>89</v>
      </c>
      <c r="G15" s="95" t="s">
        <v>90</v>
      </c>
      <c r="H15" s="9"/>
      <c r="I15" s="9"/>
    </row>
    <row r="16">
      <c r="A16" s="36"/>
      <c r="B16" s="36"/>
      <c r="C16" s="54" t="s">
        <v>20</v>
      </c>
      <c r="D16" s="90"/>
      <c r="E16" s="93" t="s">
        <v>91</v>
      </c>
      <c r="F16" s="94" t="s">
        <v>92</v>
      </c>
      <c r="G16" s="95" t="s">
        <v>93</v>
      </c>
      <c r="H16" s="9"/>
      <c r="I16" s="9"/>
    </row>
    <row r="17">
      <c r="A17" s="36"/>
      <c r="B17" s="36"/>
      <c r="C17" s="54" t="s">
        <v>21</v>
      </c>
      <c r="D17" s="90"/>
      <c r="E17" s="93" t="s">
        <v>94</v>
      </c>
      <c r="F17" s="94" t="s">
        <v>95</v>
      </c>
      <c r="G17" s="95" t="s">
        <v>96</v>
      </c>
      <c r="H17" s="9"/>
      <c r="I17" s="9"/>
    </row>
    <row r="18">
      <c r="A18" s="115"/>
      <c r="B18" s="115"/>
      <c r="C18" s="115" t="s">
        <v>22</v>
      </c>
      <c r="D18" s="105"/>
      <c r="E18" s="116" t="s">
        <v>97</v>
      </c>
      <c r="F18" s="100" t="s">
        <v>98</v>
      </c>
      <c r="G18" s="107" t="s">
        <v>99</v>
      </c>
      <c r="H18" s="9"/>
      <c r="I18" s="9"/>
    </row>
    <row r="19">
      <c r="A19" s="102">
        <v>5.0</v>
      </c>
      <c r="B19" s="103" t="s">
        <v>100</v>
      </c>
      <c r="C19" s="117" t="s">
        <v>101</v>
      </c>
      <c r="D19" s="105"/>
      <c r="E19" s="99" t="s">
        <v>102</v>
      </c>
      <c r="F19" s="106" t="s">
        <v>103</v>
      </c>
      <c r="G19" s="107" t="s">
        <v>104</v>
      </c>
      <c r="H19" s="108"/>
      <c r="I19" s="108"/>
    </row>
    <row r="20">
      <c r="A20" s="118">
        <v>6.0</v>
      </c>
      <c r="B20" s="119" t="s">
        <v>105</v>
      </c>
      <c r="C20" s="117" t="s">
        <v>106</v>
      </c>
      <c r="D20" s="105"/>
      <c r="E20" s="99" t="s">
        <v>107</v>
      </c>
      <c r="F20" s="106" t="s">
        <v>108</v>
      </c>
      <c r="G20" s="107" t="s">
        <v>109</v>
      </c>
      <c r="H20" s="108"/>
      <c r="I20" s="108"/>
    </row>
    <row r="21">
      <c r="A21" s="118">
        <v>7.0</v>
      </c>
      <c r="B21" s="103" t="s">
        <v>25</v>
      </c>
      <c r="C21" s="117" t="s">
        <v>110</v>
      </c>
      <c r="D21" s="105"/>
      <c r="E21" s="116" t="s">
        <v>111</v>
      </c>
      <c r="F21" s="106" t="s">
        <v>112</v>
      </c>
      <c r="G21" s="107" t="s">
        <v>113</v>
      </c>
      <c r="H21" s="108"/>
      <c r="I21" s="108"/>
    </row>
    <row r="22">
      <c r="A22" s="102">
        <v>8.0</v>
      </c>
      <c r="B22" s="120" t="s">
        <v>26</v>
      </c>
      <c r="C22" s="112"/>
      <c r="D22" s="105"/>
      <c r="E22" s="99" t="s">
        <v>114</v>
      </c>
      <c r="F22" s="106" t="s">
        <v>115</v>
      </c>
      <c r="G22" s="107" t="s">
        <v>116</v>
      </c>
      <c r="H22" s="108"/>
      <c r="I22" s="108"/>
    </row>
    <row r="23" ht="75.0" customHeight="1">
      <c r="A23" s="102">
        <v>9.0</v>
      </c>
      <c r="B23" s="120" t="s">
        <v>27</v>
      </c>
      <c r="C23" s="112"/>
      <c r="D23" s="105"/>
      <c r="E23" s="99" t="s">
        <v>117</v>
      </c>
      <c r="F23" s="106" t="s">
        <v>118</v>
      </c>
      <c r="G23" s="107" t="s">
        <v>119</v>
      </c>
      <c r="H23" s="108"/>
      <c r="I23" s="108"/>
    </row>
    <row r="24">
      <c r="A24" s="14">
        <v>10.0</v>
      </c>
      <c r="B24" s="15" t="s">
        <v>28</v>
      </c>
      <c r="C24" s="54"/>
      <c r="D24" s="90"/>
      <c r="E24" s="9"/>
      <c r="F24" s="9"/>
      <c r="G24" s="9"/>
      <c r="H24" s="9"/>
      <c r="I24" s="9"/>
    </row>
    <row r="25">
      <c r="C25" s="54" t="s">
        <v>29</v>
      </c>
      <c r="D25" s="90"/>
      <c r="E25" s="93" t="s">
        <v>120</v>
      </c>
      <c r="F25" s="94" t="s">
        <v>121</v>
      </c>
      <c r="G25" s="95" t="s">
        <v>122</v>
      </c>
      <c r="H25" s="9"/>
      <c r="I25" s="9"/>
    </row>
    <row r="26">
      <c r="A26" s="121"/>
      <c r="B26" s="121"/>
      <c r="C26" s="115" t="s">
        <v>30</v>
      </c>
      <c r="D26" s="105"/>
      <c r="E26" s="99" t="s">
        <v>57</v>
      </c>
      <c r="F26" s="106" t="s">
        <v>123</v>
      </c>
      <c r="G26" s="107" t="s">
        <v>124</v>
      </c>
      <c r="H26" s="108"/>
      <c r="I26" s="108"/>
    </row>
    <row r="27">
      <c r="A27" s="14">
        <v>11.0</v>
      </c>
      <c r="B27" s="15" t="s">
        <v>31</v>
      </c>
      <c r="C27" s="19" t="s">
        <v>125</v>
      </c>
      <c r="D27" s="9"/>
      <c r="E27" s="9"/>
      <c r="F27" s="9"/>
      <c r="G27" s="9"/>
      <c r="H27" s="9"/>
      <c r="I27" s="9"/>
    </row>
    <row r="28">
      <c r="A28" s="39"/>
      <c r="B28" s="39"/>
      <c r="C28" s="54" t="s">
        <v>32</v>
      </c>
      <c r="D28" s="9"/>
      <c r="E28" s="93" t="s">
        <v>126</v>
      </c>
      <c r="F28" s="94" t="s">
        <v>127</v>
      </c>
      <c r="G28" s="95" t="s">
        <v>128</v>
      </c>
      <c r="H28" s="9"/>
      <c r="I28" s="9"/>
    </row>
    <row r="29">
      <c r="A29" s="115"/>
      <c r="B29" s="115"/>
      <c r="C29" s="112" t="s">
        <v>33</v>
      </c>
      <c r="D29" s="108"/>
      <c r="E29" s="99" t="s">
        <v>126</v>
      </c>
      <c r="F29" s="106" t="s">
        <v>129</v>
      </c>
      <c r="G29" s="107" t="s">
        <v>130</v>
      </c>
      <c r="H29" s="108"/>
      <c r="I29" s="108"/>
    </row>
    <row r="30" ht="61.5" customHeight="1">
      <c r="A30" s="102">
        <v>12.0</v>
      </c>
      <c r="B30" s="122" t="s">
        <v>34</v>
      </c>
      <c r="C30" s="96"/>
      <c r="D30" s="108"/>
      <c r="E30" s="99" t="s">
        <v>131</v>
      </c>
      <c r="F30" s="106" t="s">
        <v>132</v>
      </c>
      <c r="G30" s="107" t="s">
        <v>133</v>
      </c>
      <c r="H30" s="9"/>
      <c r="I30" s="9"/>
    </row>
    <row r="31">
      <c r="A31" s="39"/>
      <c r="B31" s="39"/>
      <c r="C31" s="18"/>
      <c r="D31" s="9"/>
      <c r="E31" s="9"/>
      <c r="F31" s="9"/>
      <c r="G31" s="9"/>
      <c r="H31" s="9"/>
      <c r="I31" s="9"/>
    </row>
    <row r="32" ht="26.25" customHeight="1">
      <c r="A32" s="4"/>
      <c r="B32" s="5" t="s">
        <v>35</v>
      </c>
    </row>
    <row r="33" ht="99.75" customHeight="1">
      <c r="A33" s="34">
        <v>13.0</v>
      </c>
      <c r="B33" s="15" t="s">
        <v>36</v>
      </c>
      <c r="C33" s="63" t="s">
        <v>134</v>
      </c>
      <c r="D33" s="123"/>
      <c r="E33" s="18"/>
      <c r="F33" s="18"/>
      <c r="G33" s="18"/>
      <c r="H33" s="9"/>
      <c r="I33" s="9"/>
      <c r="J33" s="9" t="s">
        <v>135</v>
      </c>
    </row>
    <row r="34">
      <c r="A34" s="34"/>
      <c r="B34" s="54"/>
      <c r="C34" s="64" t="s">
        <v>136</v>
      </c>
      <c r="D34" s="123"/>
      <c r="E34" s="93" t="s">
        <v>137</v>
      </c>
      <c r="F34" s="94" t="s">
        <v>138</v>
      </c>
      <c r="G34" s="95" t="s">
        <v>139</v>
      </c>
      <c r="H34" s="9"/>
      <c r="I34" s="9"/>
    </row>
    <row r="35">
      <c r="A35" s="34"/>
      <c r="B35" s="54"/>
      <c r="C35" s="64" t="s">
        <v>140</v>
      </c>
      <c r="D35" s="123"/>
      <c r="E35" s="93" t="s">
        <v>141</v>
      </c>
      <c r="F35" s="94" t="s">
        <v>142</v>
      </c>
      <c r="G35" s="95" t="s">
        <v>143</v>
      </c>
      <c r="H35" s="9"/>
      <c r="I35" s="9"/>
    </row>
    <row r="36">
      <c r="A36" s="34"/>
      <c r="B36" s="54"/>
      <c r="C36" s="64" t="s">
        <v>144</v>
      </c>
      <c r="D36" s="123"/>
      <c r="E36" s="93" t="s">
        <v>145</v>
      </c>
      <c r="F36" s="94" t="s">
        <v>146</v>
      </c>
      <c r="G36" s="95" t="s">
        <v>147</v>
      </c>
      <c r="H36" s="9"/>
      <c r="I36" s="9"/>
    </row>
    <row r="37">
      <c r="A37" s="34"/>
      <c r="B37" s="54"/>
      <c r="C37" s="64" t="s">
        <v>148</v>
      </c>
      <c r="D37" s="123"/>
      <c r="E37" s="93" t="s">
        <v>149</v>
      </c>
      <c r="F37" s="94" t="s">
        <v>150</v>
      </c>
      <c r="G37" s="95" t="s">
        <v>151</v>
      </c>
      <c r="H37" s="9"/>
      <c r="I37" s="9"/>
    </row>
    <row r="38">
      <c r="A38" s="118"/>
      <c r="B38" s="112"/>
      <c r="C38" s="124" t="s">
        <v>152</v>
      </c>
      <c r="D38" s="125"/>
      <c r="E38" s="116" t="s">
        <v>153</v>
      </c>
      <c r="F38" s="100" t="s">
        <v>154</v>
      </c>
      <c r="G38" s="107" t="s">
        <v>155</v>
      </c>
      <c r="H38" s="9"/>
      <c r="I38" s="9"/>
    </row>
    <row r="39" ht="208.5" customHeight="1">
      <c r="A39" s="102">
        <v>14.0</v>
      </c>
      <c r="B39" s="122" t="s">
        <v>42</v>
      </c>
      <c r="C39" s="104" t="s">
        <v>156</v>
      </c>
      <c r="D39" s="105"/>
      <c r="E39" s="99" t="s">
        <v>157</v>
      </c>
      <c r="F39" s="106" t="s">
        <v>158</v>
      </c>
      <c r="G39" s="101" t="s">
        <v>159</v>
      </c>
      <c r="H39" s="108"/>
      <c r="I39" s="108"/>
    </row>
    <row r="40">
      <c r="A40" s="14">
        <v>15.0</v>
      </c>
      <c r="B40" s="103" t="s">
        <v>43</v>
      </c>
      <c r="C40" s="104" t="s">
        <v>160</v>
      </c>
      <c r="D40" s="105"/>
      <c r="E40" s="99" t="s">
        <v>161</v>
      </c>
      <c r="F40" s="106" t="s">
        <v>162</v>
      </c>
      <c r="G40" s="107" t="s">
        <v>163</v>
      </c>
      <c r="H40" s="108"/>
      <c r="I40" s="108"/>
    </row>
    <row r="41">
      <c r="A41" s="126">
        <v>16.0</v>
      </c>
      <c r="B41" s="127" t="s">
        <v>44</v>
      </c>
      <c r="C41" s="104" t="s">
        <v>164</v>
      </c>
      <c r="D41" s="128"/>
      <c r="E41" s="99" t="s">
        <v>165</v>
      </c>
      <c r="F41" s="106" t="s">
        <v>166</v>
      </c>
      <c r="G41" s="107" t="s">
        <v>167</v>
      </c>
      <c r="H41" s="108"/>
      <c r="I41" s="108"/>
    </row>
    <row r="42" ht="80.25" customHeight="1">
      <c r="A42" s="102">
        <v>17.0</v>
      </c>
      <c r="B42" s="103" t="s">
        <v>45</v>
      </c>
      <c r="C42" s="104" t="s">
        <v>168</v>
      </c>
      <c r="D42" s="105"/>
      <c r="E42" s="99" t="s">
        <v>169</v>
      </c>
      <c r="F42" s="106" t="s">
        <v>170</v>
      </c>
      <c r="G42" s="107" t="s">
        <v>171</v>
      </c>
      <c r="H42" s="108"/>
      <c r="I42" s="108"/>
    </row>
    <row r="43">
      <c r="A43" s="102">
        <v>18.0</v>
      </c>
      <c r="B43" s="103" t="s">
        <v>46</v>
      </c>
      <c r="C43" s="104" t="s">
        <v>172</v>
      </c>
      <c r="D43" s="105"/>
      <c r="E43" s="99" t="s">
        <v>173</v>
      </c>
      <c r="F43" s="106" t="s">
        <v>174</v>
      </c>
      <c r="G43" s="107" t="s">
        <v>175</v>
      </c>
      <c r="H43" s="108"/>
      <c r="I43" s="108"/>
    </row>
    <row r="44">
      <c r="A44" s="102">
        <v>19.0</v>
      </c>
      <c r="B44" s="103" t="s">
        <v>47</v>
      </c>
      <c r="C44" s="104" t="s">
        <v>176</v>
      </c>
      <c r="D44" s="105"/>
      <c r="E44" s="99" t="s">
        <v>177</v>
      </c>
      <c r="F44" s="106" t="s">
        <v>178</v>
      </c>
      <c r="G44" s="107" t="s">
        <v>179</v>
      </c>
      <c r="H44" s="108"/>
      <c r="I44" s="108"/>
    </row>
  </sheetData>
  <mergeCells count="3">
    <mergeCell ref="B2:I2"/>
    <mergeCell ref="B3:C3"/>
    <mergeCell ref="B32:I32"/>
  </mergeCells>
  <hyperlinks>
    <hyperlink r:id="rId1" ref="J11"/>
  </hyperlinks>
  <drawing r:id="rId2"/>
</worksheet>
</file>